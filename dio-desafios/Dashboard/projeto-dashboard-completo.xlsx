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ulia\OneDrive\dio-git-e-github\dio-desafios\Dashboard\"/>
    </mc:Choice>
  </mc:AlternateContent>
  <xr:revisionPtr revIDLastSave="0" documentId="8_{F1129AF0-30D9-4351-87CB-9FE068FFC5D8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F16" i="3"/>
</calcChain>
</file>

<file path=xl/sharedStrings.xml><?xml version="1.0" encoding="utf-8"?>
<sst xmlns="http://schemas.openxmlformats.org/spreadsheetml/2006/main" count="2019" uniqueCount="321">
  <si>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</si>
  <si>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</si>
  <si>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</si>
  <si>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</si>
  <si>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</si>
  <si>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</si>
  <si>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</si>
  <si>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</si>
  <si>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</si>
  <si>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</si>
  <si>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</si>
  <si>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</si>
  <si>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</si>
  <si>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</si>
  <si>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</si>
  <si>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</si>
  <si>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</si>
  <si>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</si>
  <si>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</si>
  <si>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</si>
  <si>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</si>
  <si>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</si>
  <si>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</si>
  <si>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</si>
  <si>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</si>
  <si>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</si>
  <si>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</si>
  <si>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</si>
  <si>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</si>
  <si>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</si>
  <si>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</si>
  <si>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</si>
  <si>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</si>
  <si>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</si>
  <si>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</si>
  <si>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</si>
  <si>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</si>
  <si>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</si>
  <si>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</si>
  <si>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</si>
  <si>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</si>
  <si>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</si>
  <si>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</si>
  <si>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</si>
  <si>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</si>
  <si>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</si>
  <si>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</si>
  <si>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</si>
  <si>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</si>
  <si>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</si>
  <si>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</si>
  <si>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</si>
  <si>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</si>
  <si>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</si>
  <si>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</si>
  <si>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</si>
  <si>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</si>
  <si>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</si>
  <si>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</si>
  <si>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</si>
  <si>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</si>
  <si>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</si>
  <si>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</si>
  <si>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</si>
  <si>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</si>
  <si>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</si>
  <si>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</si>
  <si>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</si>
  <si>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</si>
  <si>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</si>
  <si>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</si>
  <si>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</si>
  <si>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</si>
  <si>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</si>
  <si>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</si>
  <si>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</si>
  <si>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</si>
  <si>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</si>
  <si>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</si>
  <si>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</si>
  <si>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</si>
  <si>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</si>
  <si>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</si>
  <si>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</si>
  <si>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</si>
  <si>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</si>
  <si>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</si>
  <si>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</si>
  <si>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</si>
  <si>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</si>
  <si>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</si>
  <si>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</si>
  <si>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</si>
  <si>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</si>
  <si>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</si>
  <si>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</si>
  <si>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</si>
  <si>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</si>
  <si>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</si>
  <si>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</si>
  <si>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</si>
  <si>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</si>
  <si>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</si>
  <si>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</si>
  <si>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</si>
  <si>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</si>
  <si>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</si>
  <si>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</si>
  <si>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</si>
  <si>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</si>
  <si>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</si>
  <si>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</si>
  <si>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</si>
  <si>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</si>
  <si>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</si>
  <si>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</si>
  <si>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</si>
  <si>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</si>
  <si>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</si>
  <si>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</si>
  <si>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</si>
  <si>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</si>
  <si>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</si>
  <si>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</si>
  <si>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</si>
  <si>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</si>
  <si>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</si>
  <si>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</si>
  <si>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</si>
  <si>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</si>
  <si>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</si>
  <si>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</si>
  <si>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</si>
  <si>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</si>
  <si>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</si>
  <si>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</si>
  <si>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</si>
  <si>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</si>
  <si>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</si>
  <si>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</si>
  <si>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</si>
  <si>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</si>
  <si>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</si>
  <si>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</si>
  <si>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</si>
  <si>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</si>
  <si>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</si>
  <si>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</si>
  <si>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</si>
  <si>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</si>
  <si>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</si>
  <si>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</si>
  <si>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</si>
  <si>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</si>
  <si>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</si>
  <si>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</si>
  <si>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</si>
  <si>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</si>
  <si>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</si>
  <si>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</si>
  <si>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</si>
  <si>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</si>
  <si>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</si>
  <si>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</si>
  <si>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</si>
  <si>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</si>
  <si>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</si>
  <si>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</si>
  <si>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</si>
  <si>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</si>
  <si>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</si>
  <si>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</si>
  <si>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</si>
  <si>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</si>
  <si>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</si>
  <si>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</si>
  <si>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</si>
  <si>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</si>
  <si>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</si>
  <si>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</si>
  <si>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</si>
  <si>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</si>
  <si>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</si>
  <si>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</si>
  <si>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</si>
  <si>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</si>
  <si>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</si>
  <si>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</si>
  <si>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</si>
  <si>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</si>
  <si>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</si>
  <si>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</si>
  <si>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</si>
  <si>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</si>
  <si>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</si>
  <si>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</si>
  <si>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</si>
  <si>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</si>
  <si>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</si>
  <si>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</si>
  <si>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</si>
  <si>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</si>
  <si>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</si>
  <si>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</si>
  <si>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</si>
  <si>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</si>
  <si>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</si>
  <si>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</si>
  <si>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</si>
  <si>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</si>
  <si>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</si>
  <si>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</si>
  <si>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</si>
  <si>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</si>
  <si>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</si>
  <si>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</si>
  <si>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</si>
  <si>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</si>
  <si>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</si>
  <si>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</si>
  <si>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</si>
  <si>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</si>
  <si>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</si>
  <si>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</si>
  <si>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</si>
  <si>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</si>
  <si>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</si>
  <si>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</si>
  <si>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</si>
  <si>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</si>
  <si>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</si>
  <si>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</si>
  <si>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</si>
  <si>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</si>
  <si>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</si>
  <si>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</si>
  <si>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</si>
  <si>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</si>
  <si>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</si>
  <si>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</si>
  <si>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</si>
  <si>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</si>
  <si>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</si>
  <si>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</si>
  <si>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</si>
  <si>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</si>
  <si>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</si>
  <si>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</si>
  <si>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</si>
  <si>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</si>
  <si>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</si>
  <si>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</si>
  <si>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</si>
  <si>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</si>
  <si>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</si>
  <si>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</si>
  <si>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</si>
  <si>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</si>
  <si>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</si>
  <si>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</si>
  <si>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</si>
  <si>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</si>
  <si>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</si>
  <si>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</si>
  <si>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</si>
  <si>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</si>
  <si>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</si>
  <si>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</si>
  <si>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</si>
  <si>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</si>
  <si>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</si>
  <si>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</si>
  <si>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</si>
  <si>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</si>
  <si>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</si>
  <si>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</si>
  <si>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</si>
  <si>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</si>
  <si>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</si>
  <si>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</si>
  <si>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</si>
  <si>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</si>
  <si>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</si>
  <si>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</si>
  <si>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</si>
  <si>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</si>
  <si>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</si>
  <si>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</si>
  <si>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</si>
  <si>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</si>
  <si>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</si>
  <si>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</si>
  <si>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</si>
  <si>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</si>
  <si>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</si>
  <si>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</si>
  <si>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</si>
  <si>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</si>
  <si>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</si>
  <si>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</si>
  <si>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</si>
  <si>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</si>
  <si>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</si>
  <si>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</si>
  <si>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</si>
  <si>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</si>
  <si>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</si>
  <si>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</si>
  <si>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</si>
  <si>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</si>
  <si>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</si>
  <si>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</si>
  <si>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</si>
  <si>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</si>
  <si>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</si>
  <si>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</si>
  <si>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 SALES</t>
  </si>
  <si>
    <t>Soma de EA Play Season Pass</t>
  </si>
  <si>
    <t>Soma de Minecraft Season Pass Price</t>
  </si>
  <si>
    <t>&gt; Bem vinda, Júlia</t>
  </si>
  <si>
    <t>Calculation period: 01/01/2025 - 31/12/2025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</si>
</sst>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22C55E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49" fontId="4" fillId="0" borderId="2" xfId="0" applyNumberFormat="1" applyFont="1" applyBorder="1"/>
    <xf numFmtId="0" fontId="0" fillId="8" borderId="2" xfId="0" applyFill="1" applyBorder="1"/>
    <xf numFmtId="44" fontId="0" fillId="0" borderId="0" xfId="2" applyFont="1" applyBorder="1"/>
    <xf numFmtId="0" fontId="5" fillId="4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4"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</dxfs>
  <tableStyles count="1" defaultTableStyle="TableStyleMedium2" defaultPivotStyle="PivotStyleLight16">
    <tableStyle name="SlicerStyleLight6 2" pivot="0" table="0" count="10" xr9:uid="{A7B94BA2-C66E-40B7-BF84-8EB87C6089D3}">
      <tableStyleElement type="wholeTable" dxfId="15"/>
      <tableStyleElement type="headerRow" dxfId="14"/>
    </tableStyle>
  </tableStyles>
  <colors>
    <mruColors>
      <color rgb="FF5BF6A8"/>
      <color rgb="FF22C55E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4"/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4"/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[projeto-dashboard-completo.xlsx]C̳álculos!tbl_annual_total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E21-4EF2-94D3-BF0222CB56EA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21-4EF2-94D3-BF0222CB56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C̳álculos!$C$5:$C$7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1-4EF2-94D3-BF0222CB5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3150831"/>
        <c:axId val="1003152271"/>
      </c:barChart>
      <c:catAx>
        <c:axId val="100315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3152271"/>
        <c:crosses val="autoZero"/>
        <c:auto val="1"/>
        <c:lblAlgn val="ctr"/>
        <c:lblOffset val="100"/>
        <c:noMultiLvlLbl val="0"/>
      </c:catAx>
      <c:valAx>
        <c:axId val="100315227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0315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1898197</xdr:colOff>
      <xdr:row>0</xdr:row>
      <xdr:rowOff>0</xdr:rowOff>
    </xdr:from>
    <xdr:to>
      <xdr:col>1</xdr:col>
      <xdr:colOff>620486</xdr:colOff>
      <xdr:row>4</xdr:row>
      <xdr:rowOff>81216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704ECC-9B4F-45D8-88B1-E522BFB123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" t="7998" r="72121" b="-7998"/>
        <a:stretch>
          <a:fillRect/>
        </a:stretch>
      </xdr:blipFill>
      <xdr:spPr>
        <a:xfrm>
          <a:off x="1898197" y="0"/>
          <a:ext cx="866775" cy="10827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120015</xdr:rowOff>
    </xdr:from>
    <xdr:to>
      <xdr:col>0</xdr:col>
      <xdr:colOff>2124074</xdr:colOff>
      <xdr:row>18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4DA776BC-4DCF-43B9-A77B-365EBA2BE5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72615"/>
              <a:ext cx="2124074" cy="27388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381000</xdr:colOff>
      <xdr:row>4</xdr:row>
      <xdr:rowOff>146957</xdr:rowOff>
    </xdr:from>
    <xdr:to>
      <xdr:col>11</xdr:col>
      <xdr:colOff>391886</xdr:colOff>
      <xdr:row>12</xdr:row>
      <xdr:rowOff>136071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D50A66C0-CF74-7949-6AD2-995A05BBA318}"/>
            </a:ext>
          </a:extLst>
        </xdr:cNvPr>
        <xdr:cNvGrpSpPr/>
      </xdr:nvGrpSpPr>
      <xdr:grpSpPr>
        <a:xfrm>
          <a:off x="2525486" y="1148443"/>
          <a:ext cx="6139543" cy="1992085"/>
          <a:chOff x="2552700" y="1143000"/>
          <a:chExt cx="6657975" cy="279082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A636C3C3-FD87-3D96-1EAE-184251AC6385}"/>
              </a:ext>
            </a:extLst>
          </xdr:cNvPr>
          <xdr:cNvSpPr/>
        </xdr:nvSpPr>
        <xdr:spPr>
          <a:xfrm>
            <a:off x="2552700" y="1152525"/>
            <a:ext cx="6648450" cy="278130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4000"/>
          </a:p>
        </xdr:txBody>
      </xdr:sp>
      <xdr:sp macro="" textlink="C̳álculos!F16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6BFE5CBB-76E2-4FB4-A42B-1A312B93A06A}"/>
              </a:ext>
            </a:extLst>
          </xdr:cNvPr>
          <xdr:cNvSpPr/>
        </xdr:nvSpPr>
        <xdr:spPr>
          <a:xfrm>
            <a:off x="4686300" y="2190750"/>
            <a:ext cx="3603591" cy="101105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469DB21A-0DAF-41D1-8715-8C0C1BE18240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40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FB489E85-D2E5-4C55-8C8C-8EF30FAA4A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14648" y="1781174"/>
            <a:ext cx="2023826" cy="1935284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C7A07C70-04A4-D20A-A715-AA4753C6E4FD}"/>
              </a:ext>
            </a:extLst>
          </xdr:cNvPr>
          <xdr:cNvSpPr/>
        </xdr:nvSpPr>
        <xdr:spPr>
          <a:xfrm>
            <a:off x="2552701" y="1143000"/>
            <a:ext cx="6657974" cy="9334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13</xdr:col>
      <xdr:colOff>152401</xdr:colOff>
      <xdr:row>4</xdr:row>
      <xdr:rowOff>141514</xdr:rowOff>
    </xdr:from>
    <xdr:to>
      <xdr:col>24</xdr:col>
      <xdr:colOff>163287</xdr:colOff>
      <xdr:row>12</xdr:row>
      <xdr:rowOff>141514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36B761FF-C1D2-46E2-A435-02DA92F4E55F}"/>
            </a:ext>
          </a:extLst>
        </xdr:cNvPr>
        <xdr:cNvGrpSpPr/>
      </xdr:nvGrpSpPr>
      <xdr:grpSpPr>
        <a:xfrm>
          <a:off x="9481458" y="1143000"/>
          <a:ext cx="6716486" cy="2002971"/>
          <a:chOff x="2552700" y="1143000"/>
          <a:chExt cx="6657975" cy="2790825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18275F37-1462-8336-5F10-3F37D9F48F57}"/>
              </a:ext>
            </a:extLst>
          </xdr:cNvPr>
          <xdr:cNvSpPr/>
        </xdr:nvSpPr>
        <xdr:spPr>
          <a:xfrm>
            <a:off x="2552700" y="1152525"/>
            <a:ext cx="6648450" cy="278130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H8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6BECCA96-97E2-3482-5DA3-E76F4AC74CB9}"/>
              </a:ext>
            </a:extLst>
          </xdr:cNvPr>
          <xdr:cNvSpPr/>
        </xdr:nvSpPr>
        <xdr:spPr>
          <a:xfrm>
            <a:off x="4686300" y="2190750"/>
            <a:ext cx="4124325" cy="127635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D9940B33-17C0-4717-9F2C-527A4D2BE8AC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R$ 1.140,00 </a:t>
            </a:fld>
            <a:endParaRPr lang="pt-BR" sz="4000">
              <a:solidFill>
                <a:srgbClr val="22C55E"/>
              </a:solidFill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42391B8F-596A-1B1C-F844-4A2588B92FFF}"/>
              </a:ext>
            </a:extLst>
          </xdr:cNvPr>
          <xdr:cNvSpPr/>
        </xdr:nvSpPr>
        <xdr:spPr>
          <a:xfrm>
            <a:off x="2552701" y="1143000"/>
            <a:ext cx="6657974" cy="9334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 SEASON PASS</a:t>
            </a:r>
          </a:p>
        </xdr:txBody>
      </xdr:sp>
    </xdr:grpSp>
    <xdr:clientData/>
  </xdr:twoCellAnchor>
  <xdr:twoCellAnchor editAs="absolute">
    <xdr:from>
      <xdr:col>14</xdr:col>
      <xdr:colOff>91168</xdr:colOff>
      <xdr:row>8</xdr:row>
      <xdr:rowOff>21772</xdr:rowOff>
    </xdr:from>
    <xdr:to>
      <xdr:col>16</xdr:col>
      <xdr:colOff>421444</xdr:colOff>
      <xdr:row>11</xdr:row>
      <xdr:rowOff>817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5B29A69B-82DC-4E31-878C-24D04C3AD3A8}"/>
            </a:ext>
          </a:extLst>
        </xdr:cNvPr>
        <xdr:cNvGrpSpPr/>
      </xdr:nvGrpSpPr>
      <xdr:grpSpPr>
        <a:xfrm>
          <a:off x="10029825" y="2024743"/>
          <a:ext cx="1549476" cy="730160"/>
          <a:chOff x="3495675" y="5400674"/>
          <a:chExt cx="1549476" cy="752476"/>
        </a:xfrm>
      </xdr:grpSpPr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9E57662D-514F-D5C8-0CA6-A94EDF74B3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42151" y="5400674"/>
            <a:ext cx="555497" cy="609599"/>
          </a:xfrm>
          <a:prstGeom prst="rect">
            <a:avLst/>
          </a:prstGeom>
        </xdr:spPr>
      </xdr:pic>
      <xdr:pic>
        <xdr:nvPicPr>
          <xdr:cNvPr id="19" name="Gráfico 18">
            <a:extLst>
              <a:ext uri="{FF2B5EF4-FFF2-40B4-BE49-F238E27FC236}">
                <a16:creationId xmlns:a16="http://schemas.microsoft.com/office/drawing/2014/main" id="{DF81F316-7A97-824D-1A0D-DFDCEDC71A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391885</xdr:colOff>
      <xdr:row>15</xdr:row>
      <xdr:rowOff>74838</xdr:rowOff>
    </xdr:from>
    <xdr:to>
      <xdr:col>24</xdr:col>
      <xdr:colOff>540203</xdr:colOff>
      <xdr:row>29</xdr:row>
      <xdr:rowOff>152400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12F3CDC8-CE39-0E1E-37F1-64AEE8EA647B}"/>
            </a:ext>
          </a:extLst>
        </xdr:cNvPr>
        <xdr:cNvGrpSpPr/>
      </xdr:nvGrpSpPr>
      <xdr:grpSpPr>
        <a:xfrm>
          <a:off x="2536371" y="3830409"/>
          <a:ext cx="14038489" cy="3582762"/>
          <a:chOff x="2600324" y="4962524"/>
          <a:chExt cx="14458951" cy="4371976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F5CAD9F7-4A9A-FD65-8D34-BD7D3FD7F5D2}"/>
              </a:ext>
            </a:extLst>
          </xdr:cNvPr>
          <xdr:cNvGrpSpPr/>
        </xdr:nvGrpSpPr>
        <xdr:grpSpPr>
          <a:xfrm>
            <a:off x="2600324" y="5295899"/>
            <a:ext cx="14439901" cy="4038601"/>
            <a:chOff x="2409824" y="1514474"/>
            <a:chExt cx="6505575" cy="4038601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3868ACBE-767A-7BB0-3D90-7AEA75B1CA10}"/>
                </a:ext>
              </a:extLst>
            </xdr:cNvPr>
            <xdr:cNvSpPr/>
          </xdr:nvSpPr>
          <xdr:spPr>
            <a:xfrm>
              <a:off x="2409824" y="1514474"/>
              <a:ext cx="6505575" cy="3914775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70BD25D-0801-4AA4-BC4F-BCA6BE146726}"/>
                </a:ext>
              </a:extLst>
            </xdr:cNvPr>
            <xdr:cNvGraphicFramePr>
              <a:graphicFrameLocks/>
            </xdr:cNvGraphicFramePr>
          </xdr:nvGraphicFramePr>
          <xdr:xfrm>
            <a:off x="2701290" y="1724025"/>
            <a:ext cx="6099810" cy="38290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FF4A9512-D368-4AC0-BF8B-25BF33F91EE7}"/>
              </a:ext>
            </a:extLst>
          </xdr:cNvPr>
          <xdr:cNvSpPr/>
        </xdr:nvSpPr>
        <xdr:spPr>
          <a:xfrm>
            <a:off x="2609849" y="4962524"/>
            <a:ext cx="14449426" cy="9334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 PASS</a:t>
            </a:r>
          </a:p>
        </xdr:txBody>
      </xdr:sp>
    </xdr:grpSp>
    <xdr:clientData/>
  </xdr:twoCellAnchor>
  <xdr:twoCellAnchor>
    <xdr:from>
      <xdr:col>0</xdr:col>
      <xdr:colOff>283029</xdr:colOff>
      <xdr:row>1</xdr:row>
      <xdr:rowOff>87086</xdr:rowOff>
    </xdr:from>
    <xdr:to>
      <xdr:col>0</xdr:col>
      <xdr:colOff>1513114</xdr:colOff>
      <xdr:row>5</xdr:row>
      <xdr:rowOff>43544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49373655-999A-4C65-8795-1CC748E5F5BC}"/>
            </a:ext>
          </a:extLst>
        </xdr:cNvPr>
        <xdr:cNvSpPr/>
      </xdr:nvSpPr>
      <xdr:spPr>
        <a:xfrm>
          <a:off x="283029" y="337457"/>
          <a:ext cx="1230085" cy="95794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de Souza Aguiar" refreshedDate="46047.764375347222" createdVersion="8" refreshedVersion="8" minRefreshableVersion="3" recordCount="295" xr:uid="{8FB04156-1CD6-44D1-8AF6-BCF2FDB0DA9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21100372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x v="0"/>
    <d v="2024-01-01T00:00:00"/>
    <x v="0"/>
    <n v="15"/>
    <x v="0"/>
    <s v="Yes"/>
    <x v="0"/>
    <s v="Yes"/>
    <n v="20"/>
    <n v="5"/>
    <x v="0"/>
  </r>
  <r>
    <x v="1"/>
    <x v="1"/>
    <x v="1"/>
    <d v="2024-01-15T00:00:00"/>
    <x v="1"/>
    <n v="5"/>
    <x v="1"/>
    <s v="No"/>
    <x v="1"/>
    <s v="No"/>
    <n v="0"/>
    <n v="0"/>
    <x v="1"/>
  </r>
  <r>
    <x v="2"/>
    <x v="2"/>
    <x v="2"/>
    <d v="2024-02-10T00:00:00"/>
    <x v="0"/>
    <n v="10"/>
    <x v="2"/>
    <s v="No"/>
    <x v="1"/>
    <s v="Yes"/>
    <n v="20"/>
    <n v="10"/>
    <x v="2"/>
  </r>
  <r>
    <x v="3"/>
    <x v="3"/>
    <x v="0"/>
    <d v="2024-02-20T00:00:00"/>
    <x v="1"/>
    <n v="15"/>
    <x v="0"/>
    <s v="Yes"/>
    <x v="0"/>
    <s v="Yes"/>
    <n v="20"/>
    <n v="3"/>
    <x v="3"/>
  </r>
  <r>
    <x v="4"/>
    <x v="4"/>
    <x v="1"/>
    <d v="2024-03-05T00:00:00"/>
    <x v="0"/>
    <n v="5"/>
    <x v="0"/>
    <s v="No"/>
    <x v="1"/>
    <s v="No"/>
    <n v="0"/>
    <n v="1"/>
    <x v="4"/>
  </r>
  <r>
    <x v="5"/>
    <x v="5"/>
    <x v="2"/>
    <d v="2024-03-02T00:00:00"/>
    <x v="1"/>
    <n v="10"/>
    <x v="0"/>
    <s v="No"/>
    <x v="1"/>
    <s v="Yes"/>
    <n v="20"/>
    <n v="2"/>
    <x v="5"/>
  </r>
  <r>
    <x v="6"/>
    <x v="6"/>
    <x v="0"/>
    <d v="2024-03-03T00:00:00"/>
    <x v="0"/>
    <n v="15"/>
    <x v="2"/>
    <s v="Yes"/>
    <x v="0"/>
    <s v="Yes"/>
    <n v="20"/>
    <n v="10"/>
    <x v="6"/>
  </r>
  <r>
    <x v="7"/>
    <x v="7"/>
    <x v="1"/>
    <d v="2024-03-04T00:00:00"/>
    <x v="0"/>
    <n v="5"/>
    <x v="1"/>
    <s v="No"/>
    <x v="1"/>
    <s v="No"/>
    <n v="0"/>
    <n v="0"/>
    <x v="1"/>
  </r>
  <r>
    <x v="8"/>
    <x v="8"/>
    <x v="0"/>
    <d v="2024-03-05T00:00:00"/>
    <x v="1"/>
    <n v="15"/>
    <x v="0"/>
    <s v="Yes"/>
    <x v="0"/>
    <s v="Yes"/>
    <n v="20"/>
    <n v="5"/>
    <x v="0"/>
  </r>
  <r>
    <x v="9"/>
    <x v="9"/>
    <x v="2"/>
    <d v="2024-03-06T00:00:00"/>
    <x v="0"/>
    <n v="10"/>
    <x v="2"/>
    <s v="No"/>
    <x v="1"/>
    <s v="Yes"/>
    <n v="20"/>
    <n v="15"/>
    <x v="7"/>
  </r>
  <r>
    <x v="10"/>
    <x v="10"/>
    <x v="1"/>
    <d v="2024-03-07T00:00:00"/>
    <x v="1"/>
    <n v="5"/>
    <x v="0"/>
    <s v="No"/>
    <x v="1"/>
    <s v="No"/>
    <n v="0"/>
    <n v="1"/>
    <x v="4"/>
  </r>
  <r>
    <x v="11"/>
    <x v="11"/>
    <x v="0"/>
    <d v="2024-03-08T00:00:00"/>
    <x v="0"/>
    <n v="15"/>
    <x v="1"/>
    <s v="Yes"/>
    <x v="0"/>
    <s v="Yes"/>
    <n v="20"/>
    <n v="20"/>
    <x v="8"/>
  </r>
  <r>
    <x v="12"/>
    <x v="12"/>
    <x v="2"/>
    <d v="2024-03-09T00:00:00"/>
    <x v="1"/>
    <n v="10"/>
    <x v="0"/>
    <s v="No"/>
    <x v="1"/>
    <s v="Yes"/>
    <n v="20"/>
    <n v="10"/>
    <x v="2"/>
  </r>
  <r>
    <x v="13"/>
    <x v="13"/>
    <x v="1"/>
    <d v="2024-03-10T00:00:00"/>
    <x v="0"/>
    <n v="5"/>
    <x v="2"/>
    <s v="No"/>
    <x v="1"/>
    <s v="No"/>
    <n v="0"/>
    <n v="0"/>
    <x v="1"/>
  </r>
  <r>
    <x v="14"/>
    <x v="14"/>
    <x v="0"/>
    <d v="2024-03-11T00:00:00"/>
    <x v="1"/>
    <n v="15"/>
    <x v="0"/>
    <s v="Yes"/>
    <x v="0"/>
    <s v="Yes"/>
    <n v="20"/>
    <n v="8"/>
    <x v="9"/>
  </r>
  <r>
    <x v="15"/>
    <x v="15"/>
    <x v="2"/>
    <d v="2024-03-12T00:00:00"/>
    <x v="0"/>
    <n v="10"/>
    <x v="1"/>
    <s v="No"/>
    <x v="1"/>
    <s v="Yes"/>
    <n v="20"/>
    <n v="12"/>
    <x v="10"/>
  </r>
  <r>
    <x v="16"/>
    <x v="16"/>
    <x v="1"/>
    <d v="2024-03-13T00:00:00"/>
    <x v="1"/>
    <n v="5"/>
    <x v="0"/>
    <s v="No"/>
    <x v="1"/>
    <s v="No"/>
    <n v="0"/>
    <n v="2"/>
    <x v="11"/>
  </r>
  <r>
    <x v="17"/>
    <x v="17"/>
    <x v="0"/>
    <d v="2024-03-14T00:00:00"/>
    <x v="0"/>
    <n v="15"/>
    <x v="2"/>
    <s v="Yes"/>
    <x v="0"/>
    <s v="Yes"/>
    <n v="20"/>
    <n v="7"/>
    <x v="12"/>
  </r>
  <r>
    <x v="18"/>
    <x v="18"/>
    <x v="2"/>
    <d v="2024-03-15T00:00:00"/>
    <x v="1"/>
    <n v="10"/>
    <x v="0"/>
    <s v="No"/>
    <x v="1"/>
    <s v="Yes"/>
    <n v="20"/>
    <n v="5"/>
    <x v="13"/>
  </r>
  <r>
    <x v="19"/>
    <x v="19"/>
    <x v="1"/>
    <d v="2024-03-16T00:00:00"/>
    <x v="0"/>
    <n v="5"/>
    <x v="1"/>
    <s v="No"/>
    <x v="1"/>
    <s v="No"/>
    <n v="0"/>
    <n v="0"/>
    <x v="1"/>
  </r>
  <r>
    <x v="20"/>
    <x v="20"/>
    <x v="0"/>
    <d v="2024-03-17T00:00:00"/>
    <x v="1"/>
    <n v="15"/>
    <x v="0"/>
    <s v="Yes"/>
    <x v="0"/>
    <s v="Yes"/>
    <n v="20"/>
    <n v="3"/>
    <x v="3"/>
  </r>
  <r>
    <x v="21"/>
    <x v="21"/>
    <x v="2"/>
    <d v="2024-03-18T00:00:00"/>
    <x v="0"/>
    <n v="10"/>
    <x v="2"/>
    <s v="No"/>
    <x v="1"/>
    <s v="Yes"/>
    <n v="20"/>
    <n v="15"/>
    <x v="7"/>
  </r>
  <r>
    <x v="22"/>
    <x v="22"/>
    <x v="1"/>
    <d v="2024-03-19T00:00:00"/>
    <x v="1"/>
    <n v="5"/>
    <x v="0"/>
    <s v="No"/>
    <x v="1"/>
    <s v="No"/>
    <n v="0"/>
    <n v="1"/>
    <x v="4"/>
  </r>
  <r>
    <x v="23"/>
    <x v="23"/>
    <x v="0"/>
    <d v="2024-03-20T00:00:00"/>
    <x v="0"/>
    <n v="15"/>
    <x v="1"/>
    <s v="Yes"/>
    <x v="0"/>
    <s v="Yes"/>
    <n v="20"/>
    <n v="20"/>
    <x v="8"/>
  </r>
  <r>
    <x v="24"/>
    <x v="24"/>
    <x v="2"/>
    <d v="2024-03-21T00:00:00"/>
    <x v="1"/>
    <n v="10"/>
    <x v="0"/>
    <s v="No"/>
    <x v="1"/>
    <s v="Yes"/>
    <n v="20"/>
    <n v="10"/>
    <x v="2"/>
  </r>
  <r>
    <x v="25"/>
    <x v="25"/>
    <x v="1"/>
    <d v="2024-03-22T00:00:00"/>
    <x v="0"/>
    <n v="5"/>
    <x v="2"/>
    <s v="No"/>
    <x v="1"/>
    <s v="No"/>
    <n v="0"/>
    <n v="0"/>
    <x v="1"/>
  </r>
  <r>
    <x v="26"/>
    <x v="26"/>
    <x v="0"/>
    <d v="2024-03-23T00:00:00"/>
    <x v="1"/>
    <n v="15"/>
    <x v="0"/>
    <s v="Yes"/>
    <x v="0"/>
    <s v="Yes"/>
    <n v="20"/>
    <n v="5"/>
    <x v="0"/>
  </r>
  <r>
    <x v="27"/>
    <x v="27"/>
    <x v="2"/>
    <d v="2024-03-24T00:00:00"/>
    <x v="0"/>
    <n v="10"/>
    <x v="1"/>
    <s v="No"/>
    <x v="1"/>
    <s v="Yes"/>
    <n v="20"/>
    <n v="15"/>
    <x v="7"/>
  </r>
  <r>
    <x v="28"/>
    <x v="28"/>
    <x v="1"/>
    <d v="2024-03-25T00:00:00"/>
    <x v="1"/>
    <n v="5"/>
    <x v="0"/>
    <s v="No"/>
    <x v="1"/>
    <s v="No"/>
    <n v="0"/>
    <n v="1"/>
    <x v="4"/>
  </r>
  <r>
    <x v="29"/>
    <x v="29"/>
    <x v="0"/>
    <d v="2024-03-26T00:00:00"/>
    <x v="0"/>
    <n v="15"/>
    <x v="2"/>
    <s v="Yes"/>
    <x v="0"/>
    <s v="Yes"/>
    <n v="20"/>
    <n v="7"/>
    <x v="12"/>
  </r>
  <r>
    <x v="30"/>
    <x v="30"/>
    <x v="2"/>
    <d v="2024-03-27T00:00:00"/>
    <x v="1"/>
    <n v="10"/>
    <x v="0"/>
    <s v="No"/>
    <x v="1"/>
    <s v="Yes"/>
    <n v="20"/>
    <n v="10"/>
    <x v="2"/>
  </r>
  <r>
    <x v="31"/>
    <x v="31"/>
    <x v="1"/>
    <d v="2024-03-28T00:00:00"/>
    <x v="0"/>
    <n v="5"/>
    <x v="1"/>
    <s v="No"/>
    <x v="1"/>
    <s v="No"/>
    <n v="0"/>
    <n v="0"/>
    <x v="1"/>
  </r>
  <r>
    <x v="32"/>
    <x v="32"/>
    <x v="0"/>
    <d v="2024-03-29T00:00:00"/>
    <x v="1"/>
    <n v="15"/>
    <x v="0"/>
    <s v="Yes"/>
    <x v="0"/>
    <s v="Yes"/>
    <n v="20"/>
    <n v="3"/>
    <x v="3"/>
  </r>
  <r>
    <x v="33"/>
    <x v="33"/>
    <x v="2"/>
    <d v="2024-03-30T00:00:00"/>
    <x v="0"/>
    <n v="10"/>
    <x v="2"/>
    <s v="No"/>
    <x v="1"/>
    <s v="Yes"/>
    <n v="20"/>
    <n v="15"/>
    <x v="7"/>
  </r>
  <r>
    <x v="34"/>
    <x v="34"/>
    <x v="1"/>
    <d v="2024-03-31T00:00:00"/>
    <x v="1"/>
    <n v="5"/>
    <x v="0"/>
    <s v="No"/>
    <x v="1"/>
    <s v="No"/>
    <n v="0"/>
    <n v="1"/>
    <x v="4"/>
  </r>
  <r>
    <x v="35"/>
    <x v="35"/>
    <x v="1"/>
    <d v="2024-04-01T00:00:00"/>
    <x v="0"/>
    <n v="5"/>
    <x v="0"/>
    <s v="No"/>
    <x v="1"/>
    <s v="No"/>
    <n v="0"/>
    <n v="0"/>
    <x v="1"/>
  </r>
  <r>
    <x v="36"/>
    <x v="36"/>
    <x v="0"/>
    <d v="2024-04-02T00:00:00"/>
    <x v="1"/>
    <n v="15"/>
    <x v="2"/>
    <s v="Yes"/>
    <x v="0"/>
    <s v="Yes"/>
    <n v="20"/>
    <n v="7"/>
    <x v="12"/>
  </r>
  <r>
    <x v="37"/>
    <x v="37"/>
    <x v="2"/>
    <d v="2024-04-03T00:00:00"/>
    <x v="0"/>
    <n v="10"/>
    <x v="1"/>
    <s v="No"/>
    <x v="1"/>
    <s v="Yes"/>
    <n v="20"/>
    <n v="10"/>
    <x v="2"/>
  </r>
  <r>
    <x v="38"/>
    <x v="38"/>
    <x v="1"/>
    <d v="2024-04-04T00:00:00"/>
    <x v="1"/>
    <n v="5"/>
    <x v="2"/>
    <s v="No"/>
    <x v="1"/>
    <s v="No"/>
    <n v="0"/>
    <n v="1"/>
    <x v="4"/>
  </r>
  <r>
    <x v="39"/>
    <x v="39"/>
    <x v="0"/>
    <d v="2024-04-05T00:00:00"/>
    <x v="0"/>
    <n v="15"/>
    <x v="0"/>
    <s v="Yes"/>
    <x v="0"/>
    <s v="Yes"/>
    <n v="20"/>
    <n v="15"/>
    <x v="14"/>
  </r>
  <r>
    <x v="40"/>
    <x v="40"/>
    <x v="2"/>
    <d v="2024-04-06T00:00:00"/>
    <x v="1"/>
    <n v="10"/>
    <x v="0"/>
    <s v="No"/>
    <x v="1"/>
    <s v="Yes"/>
    <n v="20"/>
    <n v="5"/>
    <x v="13"/>
  </r>
  <r>
    <x v="41"/>
    <x v="41"/>
    <x v="1"/>
    <d v="2024-04-07T00:00:00"/>
    <x v="0"/>
    <n v="5"/>
    <x v="1"/>
    <s v="No"/>
    <x v="1"/>
    <s v="No"/>
    <n v="0"/>
    <n v="0"/>
    <x v="1"/>
  </r>
  <r>
    <x v="42"/>
    <x v="42"/>
    <x v="0"/>
    <d v="2024-04-08T00:00:00"/>
    <x v="1"/>
    <n v="15"/>
    <x v="2"/>
    <s v="Yes"/>
    <x v="0"/>
    <s v="Yes"/>
    <n v="20"/>
    <n v="20"/>
    <x v="8"/>
  </r>
  <r>
    <x v="43"/>
    <x v="43"/>
    <x v="2"/>
    <d v="2024-04-09T00:00:00"/>
    <x v="0"/>
    <n v="10"/>
    <x v="2"/>
    <s v="No"/>
    <x v="1"/>
    <s v="Yes"/>
    <n v="20"/>
    <n v="12"/>
    <x v="10"/>
  </r>
  <r>
    <x v="44"/>
    <x v="44"/>
    <x v="1"/>
    <d v="2024-04-10T00:00:00"/>
    <x v="1"/>
    <n v="5"/>
    <x v="0"/>
    <s v="No"/>
    <x v="1"/>
    <s v="No"/>
    <n v="0"/>
    <n v="2"/>
    <x v="11"/>
  </r>
  <r>
    <x v="45"/>
    <x v="45"/>
    <x v="0"/>
    <d v="2024-04-11T00:00:00"/>
    <x v="0"/>
    <n v="15"/>
    <x v="1"/>
    <s v="Yes"/>
    <x v="0"/>
    <s v="Yes"/>
    <n v="20"/>
    <n v="5"/>
    <x v="0"/>
  </r>
  <r>
    <x v="46"/>
    <x v="46"/>
    <x v="2"/>
    <d v="2024-04-12T00:00:00"/>
    <x v="1"/>
    <n v="10"/>
    <x v="0"/>
    <s v="No"/>
    <x v="1"/>
    <s v="Yes"/>
    <n v="20"/>
    <n v="10"/>
    <x v="2"/>
  </r>
  <r>
    <x v="47"/>
    <x v="47"/>
    <x v="1"/>
    <d v="2024-04-13T00:00:00"/>
    <x v="0"/>
    <n v="5"/>
    <x v="2"/>
    <s v="No"/>
    <x v="1"/>
    <s v="No"/>
    <n v="0"/>
    <n v="0"/>
    <x v="1"/>
  </r>
  <r>
    <x v="48"/>
    <x v="48"/>
    <x v="0"/>
    <d v="2024-04-14T00:00:00"/>
    <x v="1"/>
    <n v="15"/>
    <x v="0"/>
    <s v="Yes"/>
    <x v="0"/>
    <s v="Yes"/>
    <n v="20"/>
    <n v="3"/>
    <x v="3"/>
  </r>
  <r>
    <x v="49"/>
    <x v="49"/>
    <x v="2"/>
    <d v="2024-04-15T00:00:00"/>
    <x v="0"/>
    <n v="10"/>
    <x v="1"/>
    <s v="No"/>
    <x v="1"/>
    <s v="Yes"/>
    <n v="20"/>
    <n v="15"/>
    <x v="7"/>
  </r>
  <r>
    <x v="50"/>
    <x v="50"/>
    <x v="1"/>
    <d v="2024-04-16T00:00:00"/>
    <x v="1"/>
    <n v="5"/>
    <x v="0"/>
    <s v="No"/>
    <x v="1"/>
    <s v="No"/>
    <n v="0"/>
    <n v="1"/>
    <x v="4"/>
  </r>
  <r>
    <x v="51"/>
    <x v="51"/>
    <x v="0"/>
    <d v="2024-04-17T00:00:00"/>
    <x v="0"/>
    <n v="15"/>
    <x v="2"/>
    <s v="Yes"/>
    <x v="0"/>
    <s v="Yes"/>
    <n v="20"/>
    <n v="7"/>
    <x v="12"/>
  </r>
  <r>
    <x v="52"/>
    <x v="52"/>
    <x v="2"/>
    <d v="2024-04-18T00:00:00"/>
    <x v="1"/>
    <n v="10"/>
    <x v="0"/>
    <s v="No"/>
    <x v="1"/>
    <s v="Yes"/>
    <n v="20"/>
    <n v="10"/>
    <x v="2"/>
  </r>
  <r>
    <x v="53"/>
    <x v="53"/>
    <x v="1"/>
    <d v="2024-04-19T00:00:00"/>
    <x v="0"/>
    <n v="5"/>
    <x v="1"/>
    <s v="No"/>
    <x v="1"/>
    <s v="No"/>
    <n v="0"/>
    <n v="0"/>
    <x v="1"/>
  </r>
  <r>
    <x v="54"/>
    <x v="54"/>
    <x v="0"/>
    <d v="2024-04-20T00:00:00"/>
    <x v="1"/>
    <n v="15"/>
    <x v="0"/>
    <s v="Yes"/>
    <x v="0"/>
    <s v="Yes"/>
    <n v="20"/>
    <n v="20"/>
    <x v="8"/>
  </r>
  <r>
    <x v="55"/>
    <x v="55"/>
    <x v="2"/>
    <d v="2024-04-21T00:00:00"/>
    <x v="0"/>
    <n v="10"/>
    <x v="2"/>
    <s v="No"/>
    <x v="1"/>
    <s v="Yes"/>
    <n v="20"/>
    <n v="15"/>
    <x v="7"/>
  </r>
  <r>
    <x v="56"/>
    <x v="56"/>
    <x v="1"/>
    <d v="2024-04-22T00:00:00"/>
    <x v="1"/>
    <n v="5"/>
    <x v="0"/>
    <s v="No"/>
    <x v="1"/>
    <s v="No"/>
    <n v="0"/>
    <n v="1"/>
    <x v="4"/>
  </r>
  <r>
    <x v="57"/>
    <x v="57"/>
    <x v="0"/>
    <d v="2024-04-23T00:00:00"/>
    <x v="0"/>
    <n v="15"/>
    <x v="1"/>
    <s v="Yes"/>
    <x v="0"/>
    <s v="Yes"/>
    <n v="20"/>
    <n v="3"/>
    <x v="3"/>
  </r>
  <r>
    <x v="58"/>
    <x v="58"/>
    <x v="2"/>
    <d v="2024-04-24T00:00:00"/>
    <x v="1"/>
    <n v="10"/>
    <x v="0"/>
    <s v="No"/>
    <x v="1"/>
    <s v="Yes"/>
    <n v="20"/>
    <n v="10"/>
    <x v="2"/>
  </r>
  <r>
    <x v="59"/>
    <x v="59"/>
    <x v="1"/>
    <d v="2024-04-25T00:00:00"/>
    <x v="0"/>
    <n v="5"/>
    <x v="2"/>
    <s v="No"/>
    <x v="1"/>
    <s v="No"/>
    <n v="0"/>
    <n v="0"/>
    <x v="1"/>
  </r>
  <r>
    <x v="60"/>
    <x v="60"/>
    <x v="0"/>
    <d v="2024-04-26T00:00:00"/>
    <x v="1"/>
    <n v="15"/>
    <x v="0"/>
    <s v="Yes"/>
    <x v="0"/>
    <s v="Yes"/>
    <n v="20"/>
    <n v="5"/>
    <x v="0"/>
  </r>
  <r>
    <x v="61"/>
    <x v="61"/>
    <x v="2"/>
    <d v="2024-04-27T00:00:00"/>
    <x v="0"/>
    <n v="10"/>
    <x v="1"/>
    <s v="No"/>
    <x v="1"/>
    <s v="Yes"/>
    <n v="20"/>
    <n v="15"/>
    <x v="7"/>
  </r>
  <r>
    <x v="62"/>
    <x v="62"/>
    <x v="1"/>
    <d v="2024-04-28T00:00:00"/>
    <x v="1"/>
    <n v="5"/>
    <x v="0"/>
    <s v="No"/>
    <x v="1"/>
    <s v="No"/>
    <n v="0"/>
    <n v="1"/>
    <x v="4"/>
  </r>
  <r>
    <x v="63"/>
    <x v="63"/>
    <x v="0"/>
    <d v="2024-04-29T00:00:00"/>
    <x v="0"/>
    <n v="15"/>
    <x v="2"/>
    <s v="Yes"/>
    <x v="0"/>
    <s v="Yes"/>
    <n v="20"/>
    <n v="20"/>
    <x v="8"/>
  </r>
  <r>
    <x v="64"/>
    <x v="64"/>
    <x v="2"/>
    <d v="2024-04-30T00:00:00"/>
    <x v="1"/>
    <n v="10"/>
    <x v="0"/>
    <s v="No"/>
    <x v="1"/>
    <s v="Yes"/>
    <n v="20"/>
    <n v="5"/>
    <x v="13"/>
  </r>
  <r>
    <x v="65"/>
    <x v="65"/>
    <x v="1"/>
    <d v="2024-05-01T00:00:00"/>
    <x v="1"/>
    <n v="5"/>
    <x v="0"/>
    <s v="No"/>
    <x v="1"/>
    <s v="No"/>
    <n v="0"/>
    <n v="0"/>
    <x v="1"/>
  </r>
  <r>
    <x v="66"/>
    <x v="66"/>
    <x v="0"/>
    <d v="2024-05-02T00:00:00"/>
    <x v="0"/>
    <n v="15"/>
    <x v="2"/>
    <s v="Yes"/>
    <x v="0"/>
    <s v="Yes"/>
    <n v="20"/>
    <n v="7"/>
    <x v="12"/>
  </r>
  <r>
    <x v="67"/>
    <x v="67"/>
    <x v="2"/>
    <d v="2024-05-03T00:00:00"/>
    <x v="1"/>
    <n v="10"/>
    <x v="1"/>
    <s v="No"/>
    <x v="1"/>
    <s v="Yes"/>
    <n v="20"/>
    <n v="10"/>
    <x v="2"/>
  </r>
  <r>
    <x v="68"/>
    <x v="68"/>
    <x v="1"/>
    <d v="2024-05-04T00:00:00"/>
    <x v="0"/>
    <n v="5"/>
    <x v="2"/>
    <s v="No"/>
    <x v="1"/>
    <s v="No"/>
    <n v="0"/>
    <n v="1"/>
    <x v="4"/>
  </r>
  <r>
    <x v="69"/>
    <x v="69"/>
    <x v="0"/>
    <d v="2024-05-05T00:00:00"/>
    <x v="1"/>
    <n v="15"/>
    <x v="0"/>
    <s v="Yes"/>
    <x v="0"/>
    <s v="Yes"/>
    <n v="20"/>
    <n v="15"/>
    <x v="14"/>
  </r>
  <r>
    <x v="70"/>
    <x v="70"/>
    <x v="2"/>
    <d v="2024-05-06T00:00:00"/>
    <x v="0"/>
    <n v="10"/>
    <x v="0"/>
    <s v="No"/>
    <x v="1"/>
    <s v="Yes"/>
    <n v="20"/>
    <n v="5"/>
    <x v="13"/>
  </r>
  <r>
    <x v="71"/>
    <x v="71"/>
    <x v="1"/>
    <d v="2024-05-07T00:00:00"/>
    <x v="1"/>
    <n v="5"/>
    <x v="1"/>
    <s v="No"/>
    <x v="1"/>
    <s v="No"/>
    <n v="0"/>
    <n v="0"/>
    <x v="1"/>
  </r>
  <r>
    <x v="72"/>
    <x v="72"/>
    <x v="0"/>
    <d v="2024-05-08T00:00:00"/>
    <x v="0"/>
    <n v="15"/>
    <x v="2"/>
    <s v="Yes"/>
    <x v="0"/>
    <s v="Yes"/>
    <n v="20"/>
    <n v="20"/>
    <x v="8"/>
  </r>
  <r>
    <x v="73"/>
    <x v="73"/>
    <x v="2"/>
    <d v="2024-05-09T00:00:00"/>
    <x v="1"/>
    <n v="10"/>
    <x v="2"/>
    <s v="No"/>
    <x v="1"/>
    <s v="Yes"/>
    <n v="20"/>
    <n v="12"/>
    <x v="10"/>
  </r>
  <r>
    <x v="74"/>
    <x v="74"/>
    <x v="1"/>
    <d v="2024-05-10T00:00:00"/>
    <x v="0"/>
    <n v="5"/>
    <x v="0"/>
    <s v="No"/>
    <x v="1"/>
    <s v="No"/>
    <n v="0"/>
    <n v="2"/>
    <x v="11"/>
  </r>
  <r>
    <x v="75"/>
    <x v="75"/>
    <x v="0"/>
    <d v="2024-05-11T00:00:00"/>
    <x v="1"/>
    <n v="15"/>
    <x v="1"/>
    <s v="Yes"/>
    <x v="0"/>
    <s v="Yes"/>
    <n v="20"/>
    <n v="5"/>
    <x v="0"/>
  </r>
  <r>
    <x v="76"/>
    <x v="76"/>
    <x v="2"/>
    <d v="2024-05-12T00:00:00"/>
    <x v="0"/>
    <n v="10"/>
    <x v="0"/>
    <s v="No"/>
    <x v="1"/>
    <s v="Yes"/>
    <n v="20"/>
    <n v="10"/>
    <x v="2"/>
  </r>
  <r>
    <x v="77"/>
    <x v="77"/>
    <x v="1"/>
    <d v="2024-05-13T00:00:00"/>
    <x v="1"/>
    <n v="5"/>
    <x v="2"/>
    <s v="No"/>
    <x v="1"/>
    <s v="No"/>
    <n v="0"/>
    <n v="0"/>
    <x v="1"/>
  </r>
  <r>
    <x v="78"/>
    <x v="78"/>
    <x v="0"/>
    <d v="2024-05-14T00:00:00"/>
    <x v="0"/>
    <n v="15"/>
    <x v="0"/>
    <s v="Yes"/>
    <x v="0"/>
    <s v="Yes"/>
    <n v="20"/>
    <n v="3"/>
    <x v="3"/>
  </r>
  <r>
    <x v="79"/>
    <x v="79"/>
    <x v="2"/>
    <d v="2024-05-15T00:00:00"/>
    <x v="1"/>
    <n v="10"/>
    <x v="1"/>
    <s v="No"/>
    <x v="1"/>
    <s v="Yes"/>
    <n v="20"/>
    <n v="15"/>
    <x v="7"/>
  </r>
  <r>
    <x v="80"/>
    <x v="80"/>
    <x v="1"/>
    <d v="2024-05-16T00:00:00"/>
    <x v="0"/>
    <n v="5"/>
    <x v="0"/>
    <s v="No"/>
    <x v="1"/>
    <s v="No"/>
    <n v="0"/>
    <n v="1"/>
    <x v="4"/>
  </r>
  <r>
    <x v="81"/>
    <x v="81"/>
    <x v="0"/>
    <d v="2024-05-17T00:00:00"/>
    <x v="1"/>
    <n v="15"/>
    <x v="2"/>
    <s v="Yes"/>
    <x v="0"/>
    <s v="Yes"/>
    <n v="20"/>
    <n v="7"/>
    <x v="12"/>
  </r>
  <r>
    <x v="82"/>
    <x v="82"/>
    <x v="2"/>
    <d v="2024-05-18T00:00:00"/>
    <x v="0"/>
    <n v="10"/>
    <x v="0"/>
    <s v="No"/>
    <x v="1"/>
    <s v="Yes"/>
    <n v="20"/>
    <n v="10"/>
    <x v="2"/>
  </r>
  <r>
    <x v="83"/>
    <x v="83"/>
    <x v="1"/>
    <d v="2024-05-19T00:00:00"/>
    <x v="1"/>
    <n v="5"/>
    <x v="1"/>
    <s v="No"/>
    <x v="1"/>
    <s v="No"/>
    <n v="0"/>
    <n v="0"/>
    <x v="1"/>
  </r>
  <r>
    <x v="84"/>
    <x v="84"/>
    <x v="0"/>
    <d v="2024-05-20T00:00:00"/>
    <x v="0"/>
    <n v="15"/>
    <x v="0"/>
    <s v="Yes"/>
    <x v="0"/>
    <s v="Yes"/>
    <n v="20"/>
    <n v="20"/>
    <x v="8"/>
  </r>
  <r>
    <x v="85"/>
    <x v="85"/>
    <x v="2"/>
    <d v="2024-05-21T00:00:00"/>
    <x v="1"/>
    <n v="10"/>
    <x v="2"/>
    <s v="No"/>
    <x v="1"/>
    <s v="Yes"/>
    <n v="20"/>
    <n v="15"/>
    <x v="7"/>
  </r>
  <r>
    <x v="86"/>
    <x v="86"/>
    <x v="1"/>
    <d v="2024-05-22T00:00:00"/>
    <x v="0"/>
    <n v="5"/>
    <x v="0"/>
    <s v="No"/>
    <x v="1"/>
    <s v="No"/>
    <n v="0"/>
    <n v="1"/>
    <x v="4"/>
  </r>
  <r>
    <x v="87"/>
    <x v="87"/>
    <x v="0"/>
    <d v="2024-05-23T00:00:00"/>
    <x v="1"/>
    <n v="15"/>
    <x v="1"/>
    <s v="Yes"/>
    <x v="0"/>
    <s v="Yes"/>
    <n v="20"/>
    <n v="3"/>
    <x v="3"/>
  </r>
  <r>
    <x v="88"/>
    <x v="88"/>
    <x v="2"/>
    <d v="2024-05-24T00:00:00"/>
    <x v="0"/>
    <n v="10"/>
    <x v="0"/>
    <s v="No"/>
    <x v="1"/>
    <s v="Yes"/>
    <n v="20"/>
    <n v="10"/>
    <x v="2"/>
  </r>
  <r>
    <x v="89"/>
    <x v="89"/>
    <x v="1"/>
    <d v="2024-05-25T00:00:00"/>
    <x v="1"/>
    <n v="5"/>
    <x v="2"/>
    <s v="No"/>
    <x v="1"/>
    <s v="No"/>
    <n v="0"/>
    <n v="0"/>
    <x v="1"/>
  </r>
  <r>
    <x v="90"/>
    <x v="90"/>
    <x v="0"/>
    <d v="2024-05-26T00:00:00"/>
    <x v="0"/>
    <n v="15"/>
    <x v="0"/>
    <s v="Yes"/>
    <x v="0"/>
    <s v="Yes"/>
    <n v="20"/>
    <n v="5"/>
    <x v="0"/>
  </r>
  <r>
    <x v="91"/>
    <x v="91"/>
    <x v="2"/>
    <d v="2024-05-27T00:00:00"/>
    <x v="1"/>
    <n v="10"/>
    <x v="1"/>
    <s v="No"/>
    <x v="1"/>
    <s v="Yes"/>
    <n v="20"/>
    <n v="15"/>
    <x v="7"/>
  </r>
  <r>
    <x v="92"/>
    <x v="92"/>
    <x v="1"/>
    <d v="2024-05-28T00:00:00"/>
    <x v="0"/>
    <n v="5"/>
    <x v="0"/>
    <s v="No"/>
    <x v="1"/>
    <s v="No"/>
    <n v="0"/>
    <n v="1"/>
    <x v="4"/>
  </r>
  <r>
    <x v="93"/>
    <x v="93"/>
    <x v="0"/>
    <d v="2024-05-29T00:00:00"/>
    <x v="1"/>
    <n v="15"/>
    <x v="2"/>
    <s v="Yes"/>
    <x v="0"/>
    <s v="Yes"/>
    <n v="20"/>
    <n v="20"/>
    <x v="8"/>
  </r>
  <r>
    <x v="94"/>
    <x v="94"/>
    <x v="2"/>
    <d v="2024-05-30T00:00:00"/>
    <x v="0"/>
    <n v="10"/>
    <x v="2"/>
    <s v="No"/>
    <x v="1"/>
    <s v="Yes"/>
    <n v="20"/>
    <n v="15"/>
    <x v="7"/>
  </r>
  <r>
    <x v="95"/>
    <x v="95"/>
    <x v="1"/>
    <d v="2024-05-31T00:00:00"/>
    <x v="1"/>
    <n v="5"/>
    <x v="1"/>
    <s v="No"/>
    <x v="1"/>
    <s v="No"/>
    <n v="0"/>
    <n v="0"/>
    <x v="1"/>
  </r>
  <r>
    <x v="96"/>
    <x v="96"/>
    <x v="0"/>
    <d v="2024-06-01T00:00:00"/>
    <x v="0"/>
    <n v="15"/>
    <x v="0"/>
    <s v="Yes"/>
    <x v="0"/>
    <s v="Yes"/>
    <n v="20"/>
    <n v="7"/>
    <x v="12"/>
  </r>
  <r>
    <x v="97"/>
    <x v="97"/>
    <x v="2"/>
    <d v="2024-06-02T00:00:00"/>
    <x v="1"/>
    <n v="10"/>
    <x v="1"/>
    <s v="No"/>
    <x v="1"/>
    <s v="Yes"/>
    <n v="20"/>
    <n v="10"/>
    <x v="2"/>
  </r>
  <r>
    <x v="98"/>
    <x v="98"/>
    <x v="1"/>
    <d v="2024-06-03T00:00:00"/>
    <x v="0"/>
    <n v="5"/>
    <x v="2"/>
    <s v="No"/>
    <x v="1"/>
    <s v="No"/>
    <n v="0"/>
    <n v="1"/>
    <x v="4"/>
  </r>
  <r>
    <x v="99"/>
    <x v="99"/>
    <x v="0"/>
    <d v="2024-06-04T00:00:00"/>
    <x v="1"/>
    <n v="15"/>
    <x v="0"/>
    <s v="Yes"/>
    <x v="0"/>
    <s v="Yes"/>
    <n v="20"/>
    <n v="15"/>
    <x v="14"/>
  </r>
  <r>
    <x v="100"/>
    <x v="100"/>
    <x v="2"/>
    <d v="2024-06-05T00:00:00"/>
    <x v="0"/>
    <n v="10"/>
    <x v="0"/>
    <s v="No"/>
    <x v="1"/>
    <s v="Yes"/>
    <n v="20"/>
    <n v="5"/>
    <x v="13"/>
  </r>
  <r>
    <x v="101"/>
    <x v="101"/>
    <x v="1"/>
    <d v="2024-06-06T00:00:00"/>
    <x v="1"/>
    <n v="5"/>
    <x v="1"/>
    <s v="No"/>
    <x v="1"/>
    <s v="No"/>
    <n v="0"/>
    <n v="0"/>
    <x v="1"/>
  </r>
  <r>
    <x v="102"/>
    <x v="102"/>
    <x v="0"/>
    <d v="2024-06-07T00:00:00"/>
    <x v="0"/>
    <n v="15"/>
    <x v="2"/>
    <s v="Yes"/>
    <x v="0"/>
    <s v="Yes"/>
    <n v="20"/>
    <n v="20"/>
    <x v="8"/>
  </r>
  <r>
    <x v="103"/>
    <x v="103"/>
    <x v="2"/>
    <d v="2024-06-08T00:00:00"/>
    <x v="1"/>
    <n v="10"/>
    <x v="2"/>
    <s v="No"/>
    <x v="1"/>
    <s v="Yes"/>
    <n v="20"/>
    <n v="12"/>
    <x v="10"/>
  </r>
  <r>
    <x v="104"/>
    <x v="104"/>
    <x v="1"/>
    <d v="2024-06-09T00:00:00"/>
    <x v="0"/>
    <n v="5"/>
    <x v="0"/>
    <s v="No"/>
    <x v="1"/>
    <s v="No"/>
    <n v="0"/>
    <n v="2"/>
    <x v="11"/>
  </r>
  <r>
    <x v="105"/>
    <x v="105"/>
    <x v="1"/>
    <d v="2024-06-10T00:00:00"/>
    <x v="0"/>
    <n v="5"/>
    <x v="0"/>
    <s v="No"/>
    <x v="1"/>
    <s v="No"/>
    <n v="0"/>
    <n v="0"/>
    <x v="1"/>
  </r>
  <r>
    <x v="106"/>
    <x v="106"/>
    <x v="0"/>
    <d v="2024-06-11T00:00:00"/>
    <x v="1"/>
    <n v="15"/>
    <x v="2"/>
    <s v="Yes"/>
    <x v="0"/>
    <s v="Yes"/>
    <n v="20"/>
    <n v="7"/>
    <x v="12"/>
  </r>
  <r>
    <x v="107"/>
    <x v="107"/>
    <x v="2"/>
    <d v="2024-06-12T00:00:00"/>
    <x v="0"/>
    <n v="10"/>
    <x v="1"/>
    <s v="No"/>
    <x v="1"/>
    <s v="Yes"/>
    <n v="20"/>
    <n v="10"/>
    <x v="2"/>
  </r>
  <r>
    <x v="108"/>
    <x v="108"/>
    <x v="1"/>
    <d v="2024-06-13T00:00:00"/>
    <x v="1"/>
    <n v="5"/>
    <x v="2"/>
    <s v="No"/>
    <x v="1"/>
    <s v="No"/>
    <n v="0"/>
    <n v="1"/>
    <x v="4"/>
  </r>
  <r>
    <x v="109"/>
    <x v="109"/>
    <x v="0"/>
    <d v="2024-06-14T00:00:00"/>
    <x v="0"/>
    <n v="15"/>
    <x v="0"/>
    <s v="Yes"/>
    <x v="0"/>
    <s v="Yes"/>
    <n v="20"/>
    <n v="15"/>
    <x v="14"/>
  </r>
  <r>
    <x v="110"/>
    <x v="110"/>
    <x v="2"/>
    <d v="2024-06-15T00:00:00"/>
    <x v="1"/>
    <n v="10"/>
    <x v="0"/>
    <s v="No"/>
    <x v="1"/>
    <s v="Yes"/>
    <n v="20"/>
    <n v="5"/>
    <x v="13"/>
  </r>
  <r>
    <x v="111"/>
    <x v="111"/>
    <x v="1"/>
    <d v="2024-06-16T00:00:00"/>
    <x v="0"/>
    <n v="5"/>
    <x v="1"/>
    <s v="No"/>
    <x v="1"/>
    <s v="No"/>
    <n v="0"/>
    <n v="0"/>
    <x v="1"/>
  </r>
  <r>
    <x v="112"/>
    <x v="112"/>
    <x v="0"/>
    <d v="2024-06-17T00:00:00"/>
    <x v="1"/>
    <n v="15"/>
    <x v="2"/>
    <s v="Yes"/>
    <x v="0"/>
    <s v="Yes"/>
    <n v="20"/>
    <n v="20"/>
    <x v="8"/>
  </r>
  <r>
    <x v="113"/>
    <x v="113"/>
    <x v="2"/>
    <d v="2024-06-18T00:00:00"/>
    <x v="0"/>
    <n v="10"/>
    <x v="2"/>
    <s v="No"/>
    <x v="1"/>
    <s v="Yes"/>
    <n v="20"/>
    <n v="12"/>
    <x v="10"/>
  </r>
  <r>
    <x v="114"/>
    <x v="114"/>
    <x v="1"/>
    <d v="2024-06-19T00:00:00"/>
    <x v="1"/>
    <n v="5"/>
    <x v="0"/>
    <s v="No"/>
    <x v="1"/>
    <s v="No"/>
    <n v="0"/>
    <n v="2"/>
    <x v="11"/>
  </r>
  <r>
    <x v="115"/>
    <x v="115"/>
    <x v="0"/>
    <d v="2024-06-20T00:00:00"/>
    <x v="0"/>
    <n v="15"/>
    <x v="1"/>
    <s v="Yes"/>
    <x v="0"/>
    <s v="Yes"/>
    <n v="20"/>
    <n v="5"/>
    <x v="0"/>
  </r>
  <r>
    <x v="116"/>
    <x v="116"/>
    <x v="2"/>
    <d v="2024-06-21T00:00:00"/>
    <x v="1"/>
    <n v="10"/>
    <x v="0"/>
    <s v="No"/>
    <x v="1"/>
    <s v="Yes"/>
    <n v="20"/>
    <n v="10"/>
    <x v="2"/>
  </r>
  <r>
    <x v="117"/>
    <x v="117"/>
    <x v="1"/>
    <d v="2024-06-22T00:00:00"/>
    <x v="0"/>
    <n v="5"/>
    <x v="2"/>
    <s v="No"/>
    <x v="1"/>
    <s v="No"/>
    <n v="0"/>
    <n v="0"/>
    <x v="1"/>
  </r>
  <r>
    <x v="118"/>
    <x v="93"/>
    <x v="0"/>
    <d v="2024-06-23T00:00:00"/>
    <x v="1"/>
    <n v="15"/>
    <x v="0"/>
    <s v="Yes"/>
    <x v="0"/>
    <s v="Yes"/>
    <n v="20"/>
    <n v="3"/>
    <x v="3"/>
  </r>
  <r>
    <x v="119"/>
    <x v="118"/>
    <x v="2"/>
    <d v="2024-06-24T00:00:00"/>
    <x v="0"/>
    <n v="10"/>
    <x v="1"/>
    <s v="No"/>
    <x v="1"/>
    <s v="Yes"/>
    <n v="20"/>
    <n v="15"/>
    <x v="7"/>
  </r>
  <r>
    <x v="120"/>
    <x v="119"/>
    <x v="1"/>
    <d v="2024-06-25T00:00:00"/>
    <x v="1"/>
    <n v="5"/>
    <x v="0"/>
    <s v="No"/>
    <x v="1"/>
    <s v="No"/>
    <n v="0"/>
    <n v="1"/>
    <x v="4"/>
  </r>
  <r>
    <x v="121"/>
    <x v="120"/>
    <x v="0"/>
    <d v="2024-06-26T00:00:00"/>
    <x v="0"/>
    <n v="15"/>
    <x v="2"/>
    <s v="Yes"/>
    <x v="0"/>
    <s v="Yes"/>
    <n v="20"/>
    <n v="7"/>
    <x v="12"/>
  </r>
  <r>
    <x v="122"/>
    <x v="121"/>
    <x v="2"/>
    <d v="2024-06-27T00:00:00"/>
    <x v="1"/>
    <n v="10"/>
    <x v="0"/>
    <s v="No"/>
    <x v="1"/>
    <s v="Yes"/>
    <n v="20"/>
    <n v="10"/>
    <x v="2"/>
  </r>
  <r>
    <x v="123"/>
    <x v="122"/>
    <x v="1"/>
    <d v="2024-06-28T00:00:00"/>
    <x v="0"/>
    <n v="5"/>
    <x v="1"/>
    <s v="No"/>
    <x v="1"/>
    <s v="No"/>
    <n v="0"/>
    <n v="0"/>
    <x v="1"/>
  </r>
  <r>
    <x v="124"/>
    <x v="123"/>
    <x v="0"/>
    <d v="2024-06-29T00:00:00"/>
    <x v="1"/>
    <n v="15"/>
    <x v="0"/>
    <s v="Yes"/>
    <x v="0"/>
    <s v="Yes"/>
    <n v="20"/>
    <n v="20"/>
    <x v="8"/>
  </r>
  <r>
    <x v="125"/>
    <x v="124"/>
    <x v="2"/>
    <d v="2024-06-30T00:00:00"/>
    <x v="0"/>
    <n v="10"/>
    <x v="2"/>
    <s v="No"/>
    <x v="1"/>
    <s v="Yes"/>
    <n v="20"/>
    <n v="15"/>
    <x v="7"/>
  </r>
  <r>
    <x v="126"/>
    <x v="125"/>
    <x v="1"/>
    <d v="2024-07-01T00:00:00"/>
    <x v="1"/>
    <n v="5"/>
    <x v="0"/>
    <s v="No"/>
    <x v="1"/>
    <s v="No"/>
    <n v="0"/>
    <n v="1"/>
    <x v="4"/>
  </r>
  <r>
    <x v="127"/>
    <x v="126"/>
    <x v="0"/>
    <d v="2024-07-02T00:00:00"/>
    <x v="0"/>
    <n v="15"/>
    <x v="1"/>
    <s v="Yes"/>
    <x v="0"/>
    <s v="Yes"/>
    <n v="20"/>
    <n v="3"/>
    <x v="3"/>
  </r>
  <r>
    <x v="128"/>
    <x v="127"/>
    <x v="2"/>
    <d v="2024-07-03T00:00:00"/>
    <x v="1"/>
    <n v="10"/>
    <x v="0"/>
    <s v="No"/>
    <x v="1"/>
    <s v="Yes"/>
    <n v="20"/>
    <n v="10"/>
    <x v="2"/>
  </r>
  <r>
    <x v="129"/>
    <x v="128"/>
    <x v="1"/>
    <d v="2024-07-04T00:00:00"/>
    <x v="0"/>
    <n v="5"/>
    <x v="2"/>
    <s v="No"/>
    <x v="1"/>
    <s v="No"/>
    <n v="0"/>
    <n v="0"/>
    <x v="1"/>
  </r>
  <r>
    <x v="130"/>
    <x v="129"/>
    <x v="0"/>
    <d v="2024-07-05T00:00:00"/>
    <x v="1"/>
    <n v="15"/>
    <x v="0"/>
    <s v="Yes"/>
    <x v="0"/>
    <s v="Yes"/>
    <n v="20"/>
    <n v="15"/>
    <x v="14"/>
  </r>
  <r>
    <x v="131"/>
    <x v="130"/>
    <x v="2"/>
    <d v="2024-07-06T00:00:00"/>
    <x v="0"/>
    <n v="10"/>
    <x v="1"/>
    <s v="No"/>
    <x v="1"/>
    <s v="Yes"/>
    <n v="20"/>
    <n v="15"/>
    <x v="7"/>
  </r>
  <r>
    <x v="132"/>
    <x v="131"/>
    <x v="1"/>
    <d v="2024-07-07T00:00:00"/>
    <x v="1"/>
    <n v="5"/>
    <x v="0"/>
    <s v="No"/>
    <x v="1"/>
    <s v="No"/>
    <n v="0"/>
    <n v="1"/>
    <x v="4"/>
  </r>
  <r>
    <x v="133"/>
    <x v="132"/>
    <x v="0"/>
    <d v="2024-07-08T00:00:00"/>
    <x v="0"/>
    <n v="15"/>
    <x v="2"/>
    <s v="Yes"/>
    <x v="0"/>
    <s v="Yes"/>
    <n v="20"/>
    <n v="7"/>
    <x v="12"/>
  </r>
  <r>
    <x v="134"/>
    <x v="133"/>
    <x v="2"/>
    <d v="2024-07-09T00:00:00"/>
    <x v="1"/>
    <n v="10"/>
    <x v="0"/>
    <s v="No"/>
    <x v="1"/>
    <s v="Yes"/>
    <n v="20"/>
    <n v="10"/>
    <x v="2"/>
  </r>
  <r>
    <x v="135"/>
    <x v="134"/>
    <x v="1"/>
    <d v="2024-07-10T00:00:00"/>
    <x v="0"/>
    <n v="5"/>
    <x v="0"/>
    <s v="No"/>
    <x v="1"/>
    <s v="No"/>
    <n v="0"/>
    <n v="0"/>
    <x v="1"/>
  </r>
  <r>
    <x v="136"/>
    <x v="135"/>
    <x v="0"/>
    <d v="2024-07-11T00:00:00"/>
    <x v="1"/>
    <n v="15"/>
    <x v="2"/>
    <s v="Yes"/>
    <x v="0"/>
    <s v="Yes"/>
    <n v="20"/>
    <n v="7"/>
    <x v="12"/>
  </r>
  <r>
    <x v="137"/>
    <x v="136"/>
    <x v="2"/>
    <d v="2024-07-12T00:00:00"/>
    <x v="0"/>
    <n v="10"/>
    <x v="1"/>
    <s v="No"/>
    <x v="1"/>
    <s v="Yes"/>
    <n v="20"/>
    <n v="10"/>
    <x v="2"/>
  </r>
  <r>
    <x v="138"/>
    <x v="137"/>
    <x v="1"/>
    <d v="2024-07-13T00:00:00"/>
    <x v="1"/>
    <n v="5"/>
    <x v="2"/>
    <s v="No"/>
    <x v="1"/>
    <s v="No"/>
    <n v="0"/>
    <n v="1"/>
    <x v="4"/>
  </r>
  <r>
    <x v="139"/>
    <x v="138"/>
    <x v="0"/>
    <d v="2024-07-14T00:00:00"/>
    <x v="0"/>
    <n v="15"/>
    <x v="0"/>
    <s v="Yes"/>
    <x v="0"/>
    <s v="Yes"/>
    <n v="20"/>
    <n v="15"/>
    <x v="14"/>
  </r>
  <r>
    <x v="140"/>
    <x v="139"/>
    <x v="2"/>
    <d v="2024-07-15T00:00:00"/>
    <x v="1"/>
    <n v="10"/>
    <x v="0"/>
    <s v="No"/>
    <x v="1"/>
    <s v="Yes"/>
    <n v="20"/>
    <n v="5"/>
    <x v="13"/>
  </r>
  <r>
    <x v="141"/>
    <x v="140"/>
    <x v="1"/>
    <d v="2024-07-16T00:00:00"/>
    <x v="0"/>
    <n v="5"/>
    <x v="1"/>
    <s v="No"/>
    <x v="1"/>
    <s v="No"/>
    <n v="0"/>
    <n v="0"/>
    <x v="1"/>
  </r>
  <r>
    <x v="142"/>
    <x v="141"/>
    <x v="0"/>
    <d v="2024-07-17T00:00:00"/>
    <x v="1"/>
    <n v="15"/>
    <x v="2"/>
    <s v="Yes"/>
    <x v="0"/>
    <s v="Yes"/>
    <n v="20"/>
    <n v="20"/>
    <x v="8"/>
  </r>
  <r>
    <x v="143"/>
    <x v="142"/>
    <x v="2"/>
    <d v="2024-07-18T00:00:00"/>
    <x v="0"/>
    <n v="10"/>
    <x v="2"/>
    <s v="No"/>
    <x v="1"/>
    <s v="Yes"/>
    <n v="20"/>
    <n v="12"/>
    <x v="10"/>
  </r>
  <r>
    <x v="144"/>
    <x v="143"/>
    <x v="1"/>
    <d v="2024-07-19T00:00:00"/>
    <x v="1"/>
    <n v="5"/>
    <x v="0"/>
    <s v="No"/>
    <x v="1"/>
    <s v="No"/>
    <n v="0"/>
    <n v="2"/>
    <x v="11"/>
  </r>
  <r>
    <x v="145"/>
    <x v="144"/>
    <x v="0"/>
    <d v="2024-07-20T00:00:00"/>
    <x v="0"/>
    <n v="15"/>
    <x v="1"/>
    <s v="Yes"/>
    <x v="0"/>
    <s v="Yes"/>
    <n v="20"/>
    <n v="5"/>
    <x v="0"/>
  </r>
  <r>
    <x v="146"/>
    <x v="145"/>
    <x v="2"/>
    <d v="2024-07-21T00:00:00"/>
    <x v="1"/>
    <n v="10"/>
    <x v="0"/>
    <s v="No"/>
    <x v="1"/>
    <s v="Yes"/>
    <n v="20"/>
    <n v="10"/>
    <x v="2"/>
  </r>
  <r>
    <x v="147"/>
    <x v="146"/>
    <x v="1"/>
    <d v="2024-07-22T00:00:00"/>
    <x v="0"/>
    <n v="5"/>
    <x v="2"/>
    <s v="No"/>
    <x v="1"/>
    <s v="No"/>
    <n v="0"/>
    <n v="0"/>
    <x v="1"/>
  </r>
  <r>
    <x v="148"/>
    <x v="147"/>
    <x v="0"/>
    <d v="2024-07-23T00:00:00"/>
    <x v="1"/>
    <n v="15"/>
    <x v="0"/>
    <s v="Yes"/>
    <x v="0"/>
    <s v="Yes"/>
    <n v="20"/>
    <n v="3"/>
    <x v="3"/>
  </r>
  <r>
    <x v="149"/>
    <x v="148"/>
    <x v="2"/>
    <d v="2024-07-24T00:00:00"/>
    <x v="0"/>
    <n v="10"/>
    <x v="1"/>
    <s v="No"/>
    <x v="1"/>
    <s v="Yes"/>
    <n v="20"/>
    <n v="15"/>
    <x v="7"/>
  </r>
  <r>
    <x v="150"/>
    <x v="149"/>
    <x v="1"/>
    <d v="2024-07-25T00:00:00"/>
    <x v="1"/>
    <n v="5"/>
    <x v="0"/>
    <s v="No"/>
    <x v="1"/>
    <s v="No"/>
    <n v="0"/>
    <n v="1"/>
    <x v="4"/>
  </r>
  <r>
    <x v="151"/>
    <x v="150"/>
    <x v="0"/>
    <d v="2024-07-26T00:00:00"/>
    <x v="0"/>
    <n v="15"/>
    <x v="2"/>
    <s v="Yes"/>
    <x v="0"/>
    <s v="Yes"/>
    <n v="20"/>
    <n v="7"/>
    <x v="12"/>
  </r>
  <r>
    <x v="152"/>
    <x v="151"/>
    <x v="2"/>
    <d v="2024-07-27T00:00:00"/>
    <x v="1"/>
    <n v="10"/>
    <x v="0"/>
    <s v="No"/>
    <x v="1"/>
    <s v="Yes"/>
    <n v="20"/>
    <n v="10"/>
    <x v="2"/>
  </r>
  <r>
    <x v="153"/>
    <x v="152"/>
    <x v="1"/>
    <d v="2024-07-28T00:00:00"/>
    <x v="0"/>
    <n v="5"/>
    <x v="1"/>
    <s v="No"/>
    <x v="1"/>
    <s v="No"/>
    <n v="0"/>
    <n v="0"/>
    <x v="1"/>
  </r>
  <r>
    <x v="154"/>
    <x v="153"/>
    <x v="0"/>
    <d v="2024-07-29T00:00:00"/>
    <x v="1"/>
    <n v="15"/>
    <x v="0"/>
    <s v="Yes"/>
    <x v="0"/>
    <s v="Yes"/>
    <n v="20"/>
    <n v="20"/>
    <x v="8"/>
  </r>
  <r>
    <x v="155"/>
    <x v="154"/>
    <x v="2"/>
    <d v="2024-07-30T00:00:00"/>
    <x v="0"/>
    <n v="10"/>
    <x v="2"/>
    <s v="No"/>
    <x v="1"/>
    <s v="Yes"/>
    <n v="20"/>
    <n v="15"/>
    <x v="7"/>
  </r>
  <r>
    <x v="156"/>
    <x v="155"/>
    <x v="1"/>
    <d v="2024-07-31T00:00:00"/>
    <x v="1"/>
    <n v="5"/>
    <x v="0"/>
    <s v="No"/>
    <x v="1"/>
    <s v="No"/>
    <n v="0"/>
    <n v="1"/>
    <x v="4"/>
  </r>
  <r>
    <x v="157"/>
    <x v="156"/>
    <x v="0"/>
    <d v="2024-08-01T00:00:00"/>
    <x v="0"/>
    <n v="15"/>
    <x v="1"/>
    <s v="Yes"/>
    <x v="0"/>
    <s v="Yes"/>
    <n v="20"/>
    <n v="3"/>
    <x v="3"/>
  </r>
  <r>
    <x v="158"/>
    <x v="157"/>
    <x v="2"/>
    <d v="2024-08-02T00:00:00"/>
    <x v="1"/>
    <n v="10"/>
    <x v="0"/>
    <s v="No"/>
    <x v="1"/>
    <s v="Yes"/>
    <n v="20"/>
    <n v="10"/>
    <x v="2"/>
  </r>
  <r>
    <x v="159"/>
    <x v="158"/>
    <x v="1"/>
    <d v="2024-08-03T00:00:00"/>
    <x v="0"/>
    <n v="5"/>
    <x v="2"/>
    <s v="No"/>
    <x v="1"/>
    <s v="No"/>
    <n v="0"/>
    <n v="0"/>
    <x v="1"/>
  </r>
  <r>
    <x v="160"/>
    <x v="58"/>
    <x v="0"/>
    <d v="2024-08-04T00:00:00"/>
    <x v="1"/>
    <n v="15"/>
    <x v="0"/>
    <s v="Yes"/>
    <x v="0"/>
    <s v="Yes"/>
    <n v="20"/>
    <n v="15"/>
    <x v="14"/>
  </r>
  <r>
    <x v="161"/>
    <x v="159"/>
    <x v="2"/>
    <d v="2024-08-05T00:00:00"/>
    <x v="0"/>
    <n v="10"/>
    <x v="1"/>
    <s v="No"/>
    <x v="1"/>
    <s v="Yes"/>
    <n v="20"/>
    <n v="15"/>
    <x v="7"/>
  </r>
  <r>
    <x v="162"/>
    <x v="160"/>
    <x v="1"/>
    <d v="2024-08-06T00:00:00"/>
    <x v="1"/>
    <n v="5"/>
    <x v="0"/>
    <s v="No"/>
    <x v="1"/>
    <s v="No"/>
    <n v="0"/>
    <n v="1"/>
    <x v="4"/>
  </r>
  <r>
    <x v="163"/>
    <x v="161"/>
    <x v="0"/>
    <d v="2024-08-07T00:00:00"/>
    <x v="0"/>
    <n v="15"/>
    <x v="2"/>
    <s v="Yes"/>
    <x v="0"/>
    <s v="Yes"/>
    <n v="20"/>
    <n v="7"/>
    <x v="12"/>
  </r>
  <r>
    <x v="164"/>
    <x v="162"/>
    <x v="2"/>
    <d v="2024-08-08T00:00:00"/>
    <x v="1"/>
    <n v="10"/>
    <x v="0"/>
    <s v="No"/>
    <x v="1"/>
    <s v="Yes"/>
    <n v="20"/>
    <n v="10"/>
    <x v="2"/>
  </r>
  <r>
    <x v="165"/>
    <x v="163"/>
    <x v="1"/>
    <d v="2024-08-09T00:00:00"/>
    <x v="0"/>
    <n v="5"/>
    <x v="1"/>
    <s v="No"/>
    <x v="1"/>
    <s v="No"/>
    <n v="0"/>
    <n v="0"/>
    <x v="1"/>
  </r>
  <r>
    <x v="166"/>
    <x v="90"/>
    <x v="0"/>
    <d v="2024-08-10T00:00:00"/>
    <x v="1"/>
    <n v="15"/>
    <x v="0"/>
    <s v="Yes"/>
    <x v="0"/>
    <s v="Yes"/>
    <n v="20"/>
    <n v="20"/>
    <x v="8"/>
  </r>
  <r>
    <x v="167"/>
    <x v="164"/>
    <x v="2"/>
    <d v="2024-08-11T00:00:00"/>
    <x v="0"/>
    <n v="10"/>
    <x v="2"/>
    <s v="No"/>
    <x v="1"/>
    <s v="Yes"/>
    <n v="20"/>
    <n v="15"/>
    <x v="7"/>
  </r>
  <r>
    <x v="168"/>
    <x v="165"/>
    <x v="1"/>
    <d v="2024-08-12T00:00:00"/>
    <x v="1"/>
    <n v="5"/>
    <x v="0"/>
    <s v="No"/>
    <x v="1"/>
    <s v="No"/>
    <n v="0"/>
    <n v="1"/>
    <x v="4"/>
  </r>
  <r>
    <x v="169"/>
    <x v="166"/>
    <x v="0"/>
    <d v="2024-08-13T00:00:00"/>
    <x v="0"/>
    <n v="15"/>
    <x v="1"/>
    <s v="Yes"/>
    <x v="0"/>
    <s v="Yes"/>
    <n v="20"/>
    <n v="5"/>
    <x v="0"/>
  </r>
  <r>
    <x v="170"/>
    <x v="167"/>
    <x v="2"/>
    <d v="2024-08-14T00:00:00"/>
    <x v="1"/>
    <n v="10"/>
    <x v="0"/>
    <s v="No"/>
    <x v="1"/>
    <s v="Yes"/>
    <n v="20"/>
    <n v="10"/>
    <x v="2"/>
  </r>
  <r>
    <x v="171"/>
    <x v="168"/>
    <x v="1"/>
    <d v="2024-08-15T00:00:00"/>
    <x v="0"/>
    <n v="5"/>
    <x v="2"/>
    <s v="No"/>
    <x v="1"/>
    <s v="No"/>
    <n v="0"/>
    <n v="0"/>
    <x v="1"/>
  </r>
  <r>
    <x v="172"/>
    <x v="169"/>
    <x v="0"/>
    <d v="2024-08-16T00:00:00"/>
    <x v="1"/>
    <n v="15"/>
    <x v="0"/>
    <s v="Yes"/>
    <x v="0"/>
    <s v="Yes"/>
    <n v="20"/>
    <n v="3"/>
    <x v="3"/>
  </r>
  <r>
    <x v="173"/>
    <x v="170"/>
    <x v="2"/>
    <d v="2024-08-17T00:00:00"/>
    <x v="0"/>
    <n v="10"/>
    <x v="1"/>
    <s v="No"/>
    <x v="1"/>
    <s v="Yes"/>
    <n v="20"/>
    <n v="15"/>
    <x v="7"/>
  </r>
  <r>
    <x v="174"/>
    <x v="171"/>
    <x v="1"/>
    <d v="2024-08-18T00:00:00"/>
    <x v="1"/>
    <n v="5"/>
    <x v="0"/>
    <s v="No"/>
    <x v="1"/>
    <s v="No"/>
    <n v="0"/>
    <n v="1"/>
    <x v="4"/>
  </r>
  <r>
    <x v="175"/>
    <x v="172"/>
    <x v="1"/>
    <d v="2024-08-19T00:00:00"/>
    <x v="0"/>
    <n v="5"/>
    <x v="0"/>
    <s v="No"/>
    <x v="1"/>
    <s v="No"/>
    <n v="0"/>
    <n v="0"/>
    <x v="1"/>
  </r>
  <r>
    <x v="176"/>
    <x v="173"/>
    <x v="0"/>
    <d v="2024-08-20T00:00:00"/>
    <x v="1"/>
    <n v="15"/>
    <x v="2"/>
    <s v="Yes"/>
    <x v="0"/>
    <s v="Yes"/>
    <n v="20"/>
    <n v="7"/>
    <x v="12"/>
  </r>
  <r>
    <x v="177"/>
    <x v="174"/>
    <x v="2"/>
    <d v="2024-08-21T00:00:00"/>
    <x v="0"/>
    <n v="10"/>
    <x v="1"/>
    <s v="No"/>
    <x v="1"/>
    <s v="Yes"/>
    <n v="20"/>
    <n v="10"/>
    <x v="2"/>
  </r>
  <r>
    <x v="178"/>
    <x v="175"/>
    <x v="1"/>
    <d v="2024-08-22T00:00:00"/>
    <x v="1"/>
    <n v="5"/>
    <x v="2"/>
    <s v="No"/>
    <x v="1"/>
    <s v="No"/>
    <n v="0"/>
    <n v="1"/>
    <x v="4"/>
  </r>
  <r>
    <x v="179"/>
    <x v="176"/>
    <x v="0"/>
    <d v="2024-08-23T00:00:00"/>
    <x v="0"/>
    <n v="15"/>
    <x v="0"/>
    <s v="Yes"/>
    <x v="0"/>
    <s v="Yes"/>
    <n v="20"/>
    <n v="15"/>
    <x v="14"/>
  </r>
  <r>
    <x v="180"/>
    <x v="177"/>
    <x v="2"/>
    <d v="2024-08-24T00:00:00"/>
    <x v="1"/>
    <n v="10"/>
    <x v="0"/>
    <s v="No"/>
    <x v="1"/>
    <s v="Yes"/>
    <n v="20"/>
    <n v="5"/>
    <x v="13"/>
  </r>
  <r>
    <x v="181"/>
    <x v="178"/>
    <x v="1"/>
    <d v="2024-08-25T00:00:00"/>
    <x v="0"/>
    <n v="5"/>
    <x v="1"/>
    <s v="No"/>
    <x v="1"/>
    <s v="No"/>
    <n v="0"/>
    <n v="0"/>
    <x v="1"/>
  </r>
  <r>
    <x v="182"/>
    <x v="179"/>
    <x v="0"/>
    <d v="2024-08-26T00:00:00"/>
    <x v="1"/>
    <n v="15"/>
    <x v="2"/>
    <s v="Yes"/>
    <x v="0"/>
    <s v="Yes"/>
    <n v="20"/>
    <n v="20"/>
    <x v="8"/>
  </r>
  <r>
    <x v="183"/>
    <x v="180"/>
    <x v="2"/>
    <d v="2024-08-27T00:00:00"/>
    <x v="0"/>
    <n v="10"/>
    <x v="2"/>
    <s v="No"/>
    <x v="1"/>
    <s v="Yes"/>
    <n v="20"/>
    <n v="12"/>
    <x v="10"/>
  </r>
  <r>
    <x v="184"/>
    <x v="181"/>
    <x v="1"/>
    <d v="2024-08-28T00:00:00"/>
    <x v="1"/>
    <n v="5"/>
    <x v="0"/>
    <s v="No"/>
    <x v="1"/>
    <s v="No"/>
    <n v="0"/>
    <n v="2"/>
    <x v="11"/>
  </r>
  <r>
    <x v="185"/>
    <x v="182"/>
    <x v="0"/>
    <d v="2024-08-29T00:00:00"/>
    <x v="0"/>
    <n v="15"/>
    <x v="1"/>
    <s v="Yes"/>
    <x v="0"/>
    <s v="Yes"/>
    <n v="20"/>
    <n v="5"/>
    <x v="0"/>
  </r>
  <r>
    <x v="186"/>
    <x v="183"/>
    <x v="2"/>
    <d v="2024-08-30T00:00:00"/>
    <x v="1"/>
    <n v="10"/>
    <x v="0"/>
    <s v="No"/>
    <x v="1"/>
    <s v="Yes"/>
    <n v="20"/>
    <n v="10"/>
    <x v="2"/>
  </r>
  <r>
    <x v="187"/>
    <x v="184"/>
    <x v="1"/>
    <d v="2024-08-31T00:00:00"/>
    <x v="0"/>
    <n v="5"/>
    <x v="2"/>
    <s v="No"/>
    <x v="1"/>
    <s v="No"/>
    <n v="0"/>
    <n v="0"/>
    <x v="1"/>
  </r>
  <r>
    <x v="188"/>
    <x v="185"/>
    <x v="0"/>
    <d v="2024-09-01T00:00:00"/>
    <x v="1"/>
    <n v="15"/>
    <x v="0"/>
    <s v="Yes"/>
    <x v="0"/>
    <s v="Yes"/>
    <n v="20"/>
    <n v="3"/>
    <x v="3"/>
  </r>
  <r>
    <x v="189"/>
    <x v="186"/>
    <x v="2"/>
    <d v="2024-09-02T00:00:00"/>
    <x v="0"/>
    <n v="10"/>
    <x v="1"/>
    <s v="No"/>
    <x v="1"/>
    <s v="Yes"/>
    <n v="20"/>
    <n v="15"/>
    <x v="7"/>
  </r>
  <r>
    <x v="190"/>
    <x v="15"/>
    <x v="1"/>
    <d v="2024-09-03T00:00:00"/>
    <x v="1"/>
    <n v="5"/>
    <x v="0"/>
    <s v="No"/>
    <x v="1"/>
    <s v="No"/>
    <n v="0"/>
    <n v="1"/>
    <x v="4"/>
  </r>
  <r>
    <x v="191"/>
    <x v="187"/>
    <x v="0"/>
    <d v="2024-09-04T00:00:00"/>
    <x v="0"/>
    <n v="15"/>
    <x v="2"/>
    <s v="Yes"/>
    <x v="0"/>
    <s v="Yes"/>
    <n v="20"/>
    <n v="7"/>
    <x v="12"/>
  </r>
  <r>
    <x v="192"/>
    <x v="188"/>
    <x v="2"/>
    <d v="2024-09-05T00:00:00"/>
    <x v="1"/>
    <n v="10"/>
    <x v="0"/>
    <s v="No"/>
    <x v="1"/>
    <s v="Yes"/>
    <n v="20"/>
    <n v="10"/>
    <x v="2"/>
  </r>
  <r>
    <x v="193"/>
    <x v="14"/>
    <x v="1"/>
    <d v="2024-09-06T00:00:00"/>
    <x v="0"/>
    <n v="5"/>
    <x v="1"/>
    <s v="No"/>
    <x v="1"/>
    <s v="No"/>
    <n v="0"/>
    <n v="0"/>
    <x v="1"/>
  </r>
  <r>
    <x v="194"/>
    <x v="189"/>
    <x v="0"/>
    <d v="2024-09-07T00:00:00"/>
    <x v="1"/>
    <n v="15"/>
    <x v="0"/>
    <s v="Yes"/>
    <x v="0"/>
    <s v="Yes"/>
    <n v="20"/>
    <n v="20"/>
    <x v="8"/>
  </r>
  <r>
    <x v="195"/>
    <x v="167"/>
    <x v="2"/>
    <d v="2024-09-08T00:00:00"/>
    <x v="0"/>
    <n v="10"/>
    <x v="2"/>
    <s v="No"/>
    <x v="1"/>
    <s v="Yes"/>
    <n v="20"/>
    <n v="15"/>
    <x v="7"/>
  </r>
  <r>
    <x v="196"/>
    <x v="190"/>
    <x v="1"/>
    <d v="2024-09-09T00:00:00"/>
    <x v="1"/>
    <n v="5"/>
    <x v="0"/>
    <s v="No"/>
    <x v="1"/>
    <s v="No"/>
    <n v="0"/>
    <n v="1"/>
    <x v="4"/>
  </r>
  <r>
    <x v="197"/>
    <x v="191"/>
    <x v="0"/>
    <d v="2024-09-10T00:00:00"/>
    <x v="0"/>
    <n v="15"/>
    <x v="1"/>
    <s v="Yes"/>
    <x v="0"/>
    <s v="Yes"/>
    <n v="20"/>
    <n v="3"/>
    <x v="3"/>
  </r>
  <r>
    <x v="198"/>
    <x v="192"/>
    <x v="2"/>
    <d v="2024-09-11T00:00:00"/>
    <x v="1"/>
    <n v="10"/>
    <x v="0"/>
    <s v="No"/>
    <x v="1"/>
    <s v="Yes"/>
    <n v="20"/>
    <n v="10"/>
    <x v="2"/>
  </r>
  <r>
    <x v="199"/>
    <x v="193"/>
    <x v="1"/>
    <d v="2024-09-12T00:00:00"/>
    <x v="0"/>
    <n v="5"/>
    <x v="2"/>
    <s v="No"/>
    <x v="1"/>
    <s v="No"/>
    <n v="0"/>
    <n v="0"/>
    <x v="1"/>
  </r>
  <r>
    <x v="200"/>
    <x v="194"/>
    <x v="0"/>
    <d v="2024-09-13T00:00:00"/>
    <x v="1"/>
    <n v="15"/>
    <x v="0"/>
    <s v="Yes"/>
    <x v="0"/>
    <s v="Yes"/>
    <n v="20"/>
    <n v="15"/>
    <x v="14"/>
  </r>
  <r>
    <x v="201"/>
    <x v="195"/>
    <x v="2"/>
    <d v="2024-09-14T00:00:00"/>
    <x v="0"/>
    <n v="10"/>
    <x v="1"/>
    <s v="No"/>
    <x v="1"/>
    <s v="Yes"/>
    <n v="20"/>
    <n v="15"/>
    <x v="7"/>
  </r>
  <r>
    <x v="202"/>
    <x v="196"/>
    <x v="1"/>
    <d v="2024-09-15T00:00:00"/>
    <x v="1"/>
    <n v="5"/>
    <x v="0"/>
    <s v="No"/>
    <x v="1"/>
    <s v="No"/>
    <n v="0"/>
    <n v="1"/>
    <x v="4"/>
  </r>
  <r>
    <x v="203"/>
    <x v="197"/>
    <x v="0"/>
    <d v="2024-09-16T00:00:00"/>
    <x v="0"/>
    <n v="15"/>
    <x v="2"/>
    <s v="Yes"/>
    <x v="0"/>
    <s v="Yes"/>
    <n v="20"/>
    <n v="7"/>
    <x v="12"/>
  </r>
  <r>
    <x v="204"/>
    <x v="198"/>
    <x v="2"/>
    <d v="2024-09-17T00:00:00"/>
    <x v="1"/>
    <n v="10"/>
    <x v="0"/>
    <s v="No"/>
    <x v="1"/>
    <s v="Yes"/>
    <n v="20"/>
    <n v="10"/>
    <x v="2"/>
  </r>
  <r>
    <x v="205"/>
    <x v="199"/>
    <x v="1"/>
    <d v="2024-09-18T00:00:00"/>
    <x v="0"/>
    <n v="5"/>
    <x v="0"/>
    <s v="No"/>
    <x v="1"/>
    <s v="No"/>
    <n v="0"/>
    <n v="0"/>
    <x v="1"/>
  </r>
  <r>
    <x v="206"/>
    <x v="200"/>
    <x v="0"/>
    <d v="2024-09-19T00:00:00"/>
    <x v="1"/>
    <n v="15"/>
    <x v="2"/>
    <s v="Yes"/>
    <x v="0"/>
    <s v="Yes"/>
    <n v="20"/>
    <n v="7"/>
    <x v="12"/>
  </r>
  <r>
    <x v="207"/>
    <x v="201"/>
    <x v="2"/>
    <d v="2024-09-20T00:00:00"/>
    <x v="0"/>
    <n v="10"/>
    <x v="1"/>
    <s v="No"/>
    <x v="1"/>
    <s v="Yes"/>
    <n v="20"/>
    <n v="10"/>
    <x v="2"/>
  </r>
  <r>
    <x v="208"/>
    <x v="202"/>
    <x v="1"/>
    <d v="2024-09-21T00:00:00"/>
    <x v="1"/>
    <n v="5"/>
    <x v="2"/>
    <s v="No"/>
    <x v="1"/>
    <s v="No"/>
    <n v="0"/>
    <n v="1"/>
    <x v="4"/>
  </r>
  <r>
    <x v="209"/>
    <x v="203"/>
    <x v="0"/>
    <d v="2024-09-22T00:00:00"/>
    <x v="0"/>
    <n v="15"/>
    <x v="0"/>
    <s v="Yes"/>
    <x v="0"/>
    <s v="Yes"/>
    <n v="20"/>
    <n v="15"/>
    <x v="14"/>
  </r>
  <r>
    <x v="210"/>
    <x v="204"/>
    <x v="2"/>
    <d v="2024-09-23T00:00:00"/>
    <x v="1"/>
    <n v="10"/>
    <x v="0"/>
    <s v="No"/>
    <x v="1"/>
    <s v="Yes"/>
    <n v="20"/>
    <n v="5"/>
    <x v="13"/>
  </r>
  <r>
    <x v="211"/>
    <x v="205"/>
    <x v="1"/>
    <d v="2024-09-24T00:00:00"/>
    <x v="0"/>
    <n v="5"/>
    <x v="1"/>
    <s v="No"/>
    <x v="1"/>
    <s v="No"/>
    <n v="0"/>
    <n v="0"/>
    <x v="1"/>
  </r>
  <r>
    <x v="212"/>
    <x v="206"/>
    <x v="0"/>
    <d v="2024-09-25T00:00:00"/>
    <x v="1"/>
    <n v="15"/>
    <x v="2"/>
    <s v="Yes"/>
    <x v="0"/>
    <s v="Yes"/>
    <n v="20"/>
    <n v="20"/>
    <x v="8"/>
  </r>
  <r>
    <x v="213"/>
    <x v="207"/>
    <x v="2"/>
    <d v="2024-09-26T00:00:00"/>
    <x v="0"/>
    <n v="10"/>
    <x v="2"/>
    <s v="No"/>
    <x v="1"/>
    <s v="Yes"/>
    <n v="20"/>
    <n v="12"/>
    <x v="10"/>
  </r>
  <r>
    <x v="214"/>
    <x v="37"/>
    <x v="1"/>
    <d v="2024-09-27T00:00:00"/>
    <x v="1"/>
    <n v="5"/>
    <x v="0"/>
    <s v="No"/>
    <x v="1"/>
    <s v="No"/>
    <n v="0"/>
    <n v="2"/>
    <x v="11"/>
  </r>
  <r>
    <x v="215"/>
    <x v="208"/>
    <x v="0"/>
    <d v="2024-09-28T00:00:00"/>
    <x v="0"/>
    <n v="15"/>
    <x v="1"/>
    <s v="Yes"/>
    <x v="0"/>
    <s v="Yes"/>
    <n v="20"/>
    <n v="5"/>
    <x v="0"/>
  </r>
  <r>
    <x v="216"/>
    <x v="209"/>
    <x v="2"/>
    <d v="2024-09-29T00:00:00"/>
    <x v="1"/>
    <n v="10"/>
    <x v="0"/>
    <s v="No"/>
    <x v="1"/>
    <s v="Yes"/>
    <n v="20"/>
    <n v="10"/>
    <x v="2"/>
  </r>
  <r>
    <x v="217"/>
    <x v="210"/>
    <x v="1"/>
    <d v="2024-09-30T00:00:00"/>
    <x v="0"/>
    <n v="5"/>
    <x v="2"/>
    <s v="No"/>
    <x v="1"/>
    <s v="No"/>
    <n v="0"/>
    <n v="0"/>
    <x v="1"/>
  </r>
  <r>
    <x v="218"/>
    <x v="211"/>
    <x v="0"/>
    <d v="2024-10-01T00:00:00"/>
    <x v="1"/>
    <n v="15"/>
    <x v="0"/>
    <s v="Yes"/>
    <x v="0"/>
    <s v="Yes"/>
    <n v="20"/>
    <n v="3"/>
    <x v="3"/>
  </r>
  <r>
    <x v="219"/>
    <x v="212"/>
    <x v="2"/>
    <d v="2024-10-02T00:00:00"/>
    <x v="0"/>
    <n v="10"/>
    <x v="1"/>
    <s v="No"/>
    <x v="1"/>
    <s v="Yes"/>
    <n v="20"/>
    <n v="15"/>
    <x v="7"/>
  </r>
  <r>
    <x v="220"/>
    <x v="213"/>
    <x v="1"/>
    <d v="2024-10-03T00:00:00"/>
    <x v="1"/>
    <n v="5"/>
    <x v="0"/>
    <s v="No"/>
    <x v="1"/>
    <s v="No"/>
    <n v="0"/>
    <n v="1"/>
    <x v="4"/>
  </r>
  <r>
    <x v="221"/>
    <x v="191"/>
    <x v="0"/>
    <d v="2024-10-04T00:00:00"/>
    <x v="0"/>
    <n v="15"/>
    <x v="2"/>
    <s v="Yes"/>
    <x v="0"/>
    <s v="Yes"/>
    <n v="20"/>
    <n v="7"/>
    <x v="12"/>
  </r>
  <r>
    <x v="222"/>
    <x v="45"/>
    <x v="2"/>
    <d v="2024-10-05T00:00:00"/>
    <x v="1"/>
    <n v="10"/>
    <x v="0"/>
    <s v="No"/>
    <x v="1"/>
    <s v="Yes"/>
    <n v="20"/>
    <n v="10"/>
    <x v="2"/>
  </r>
  <r>
    <x v="223"/>
    <x v="214"/>
    <x v="1"/>
    <d v="2024-10-06T00:00:00"/>
    <x v="0"/>
    <n v="5"/>
    <x v="1"/>
    <s v="No"/>
    <x v="1"/>
    <s v="No"/>
    <n v="0"/>
    <n v="0"/>
    <x v="1"/>
  </r>
  <r>
    <x v="224"/>
    <x v="215"/>
    <x v="0"/>
    <d v="2024-10-07T00:00:00"/>
    <x v="1"/>
    <n v="15"/>
    <x v="0"/>
    <s v="Yes"/>
    <x v="0"/>
    <s v="Yes"/>
    <n v="20"/>
    <n v="20"/>
    <x v="8"/>
  </r>
  <r>
    <x v="225"/>
    <x v="216"/>
    <x v="2"/>
    <d v="2024-10-08T00:00:00"/>
    <x v="0"/>
    <n v="10"/>
    <x v="2"/>
    <s v="No"/>
    <x v="1"/>
    <s v="Yes"/>
    <n v="20"/>
    <n v="15"/>
    <x v="7"/>
  </r>
  <r>
    <x v="226"/>
    <x v="217"/>
    <x v="1"/>
    <d v="2024-10-09T00:00:00"/>
    <x v="1"/>
    <n v="5"/>
    <x v="0"/>
    <s v="No"/>
    <x v="1"/>
    <s v="No"/>
    <n v="0"/>
    <n v="1"/>
    <x v="4"/>
  </r>
  <r>
    <x v="227"/>
    <x v="218"/>
    <x v="0"/>
    <d v="2024-10-10T00:00:00"/>
    <x v="0"/>
    <n v="15"/>
    <x v="1"/>
    <s v="Yes"/>
    <x v="0"/>
    <s v="Yes"/>
    <n v="20"/>
    <n v="3"/>
    <x v="3"/>
  </r>
  <r>
    <x v="228"/>
    <x v="219"/>
    <x v="2"/>
    <d v="2024-10-11T00:00:00"/>
    <x v="1"/>
    <n v="10"/>
    <x v="0"/>
    <s v="No"/>
    <x v="1"/>
    <s v="Yes"/>
    <n v="20"/>
    <n v="10"/>
    <x v="2"/>
  </r>
  <r>
    <x v="229"/>
    <x v="127"/>
    <x v="1"/>
    <d v="2024-10-12T00:00:00"/>
    <x v="0"/>
    <n v="5"/>
    <x v="2"/>
    <s v="No"/>
    <x v="1"/>
    <s v="No"/>
    <n v="0"/>
    <n v="0"/>
    <x v="1"/>
  </r>
  <r>
    <x v="230"/>
    <x v="220"/>
    <x v="0"/>
    <d v="2024-10-13T00:00:00"/>
    <x v="1"/>
    <n v="15"/>
    <x v="0"/>
    <s v="Yes"/>
    <x v="0"/>
    <s v="Yes"/>
    <n v="20"/>
    <n v="15"/>
    <x v="14"/>
  </r>
  <r>
    <x v="231"/>
    <x v="221"/>
    <x v="2"/>
    <d v="2024-10-14T00:00:00"/>
    <x v="0"/>
    <n v="10"/>
    <x v="1"/>
    <s v="No"/>
    <x v="1"/>
    <s v="Yes"/>
    <n v="20"/>
    <n v="15"/>
    <x v="7"/>
  </r>
  <r>
    <x v="232"/>
    <x v="222"/>
    <x v="1"/>
    <d v="2024-10-15T00:00:00"/>
    <x v="1"/>
    <n v="5"/>
    <x v="0"/>
    <s v="No"/>
    <x v="1"/>
    <s v="No"/>
    <n v="0"/>
    <n v="1"/>
    <x v="4"/>
  </r>
  <r>
    <x v="233"/>
    <x v="223"/>
    <x v="0"/>
    <d v="2024-10-16T00:00:00"/>
    <x v="0"/>
    <n v="15"/>
    <x v="2"/>
    <s v="Yes"/>
    <x v="0"/>
    <s v="Yes"/>
    <n v="20"/>
    <n v="7"/>
    <x v="12"/>
  </r>
  <r>
    <x v="234"/>
    <x v="224"/>
    <x v="2"/>
    <d v="2024-10-17T00:00:00"/>
    <x v="1"/>
    <n v="10"/>
    <x v="0"/>
    <s v="No"/>
    <x v="1"/>
    <s v="Yes"/>
    <n v="20"/>
    <n v="10"/>
    <x v="2"/>
  </r>
  <r>
    <x v="235"/>
    <x v="225"/>
    <x v="1"/>
    <d v="2024-10-18T00:00:00"/>
    <x v="0"/>
    <n v="5"/>
    <x v="1"/>
    <s v="No"/>
    <x v="1"/>
    <s v="No"/>
    <n v="0"/>
    <n v="0"/>
    <x v="1"/>
  </r>
  <r>
    <x v="236"/>
    <x v="226"/>
    <x v="0"/>
    <d v="2024-10-19T00:00:00"/>
    <x v="1"/>
    <n v="15"/>
    <x v="0"/>
    <s v="Yes"/>
    <x v="0"/>
    <s v="Yes"/>
    <n v="20"/>
    <n v="15"/>
    <x v="14"/>
  </r>
  <r>
    <x v="237"/>
    <x v="227"/>
    <x v="2"/>
    <d v="2024-10-20T00:00:00"/>
    <x v="0"/>
    <n v="10"/>
    <x v="2"/>
    <s v="No"/>
    <x v="1"/>
    <s v="Yes"/>
    <n v="20"/>
    <n v="12"/>
    <x v="10"/>
  </r>
  <r>
    <x v="238"/>
    <x v="228"/>
    <x v="1"/>
    <d v="2024-10-21T00:00:00"/>
    <x v="1"/>
    <n v="5"/>
    <x v="0"/>
    <s v="No"/>
    <x v="1"/>
    <s v="No"/>
    <n v="0"/>
    <n v="2"/>
    <x v="11"/>
  </r>
  <r>
    <x v="239"/>
    <x v="229"/>
    <x v="0"/>
    <d v="2024-10-22T00:00:00"/>
    <x v="0"/>
    <n v="15"/>
    <x v="1"/>
    <s v="Yes"/>
    <x v="0"/>
    <s v="Yes"/>
    <n v="20"/>
    <n v="5"/>
    <x v="0"/>
  </r>
  <r>
    <x v="240"/>
    <x v="230"/>
    <x v="2"/>
    <d v="2024-10-23T00:00:00"/>
    <x v="1"/>
    <n v="10"/>
    <x v="0"/>
    <s v="No"/>
    <x v="1"/>
    <s v="Yes"/>
    <n v="20"/>
    <n v="10"/>
    <x v="2"/>
  </r>
  <r>
    <x v="241"/>
    <x v="231"/>
    <x v="1"/>
    <d v="2024-10-24T00:00:00"/>
    <x v="0"/>
    <n v="5"/>
    <x v="2"/>
    <s v="No"/>
    <x v="1"/>
    <s v="No"/>
    <n v="0"/>
    <n v="0"/>
    <x v="1"/>
  </r>
  <r>
    <x v="242"/>
    <x v="140"/>
    <x v="0"/>
    <d v="2024-10-25T00:00:00"/>
    <x v="1"/>
    <n v="15"/>
    <x v="0"/>
    <s v="Yes"/>
    <x v="0"/>
    <s v="Yes"/>
    <n v="20"/>
    <n v="3"/>
    <x v="3"/>
  </r>
  <r>
    <x v="243"/>
    <x v="232"/>
    <x v="2"/>
    <d v="2024-10-26T00:00:00"/>
    <x v="0"/>
    <n v="10"/>
    <x v="1"/>
    <s v="No"/>
    <x v="1"/>
    <s v="Yes"/>
    <n v="20"/>
    <n v="15"/>
    <x v="7"/>
  </r>
  <r>
    <x v="244"/>
    <x v="233"/>
    <x v="1"/>
    <d v="2024-10-27T00:00:00"/>
    <x v="1"/>
    <n v="5"/>
    <x v="0"/>
    <s v="No"/>
    <x v="1"/>
    <s v="No"/>
    <n v="0"/>
    <n v="1"/>
    <x v="4"/>
  </r>
  <r>
    <x v="245"/>
    <x v="234"/>
    <x v="0"/>
    <d v="2024-10-28T00:00:00"/>
    <x v="0"/>
    <n v="15"/>
    <x v="2"/>
    <s v="Yes"/>
    <x v="0"/>
    <s v="Yes"/>
    <n v="20"/>
    <n v="7"/>
    <x v="12"/>
  </r>
  <r>
    <x v="246"/>
    <x v="235"/>
    <x v="2"/>
    <d v="2024-10-29T00:00:00"/>
    <x v="1"/>
    <n v="10"/>
    <x v="0"/>
    <s v="No"/>
    <x v="1"/>
    <s v="Yes"/>
    <n v="20"/>
    <n v="10"/>
    <x v="2"/>
  </r>
  <r>
    <x v="247"/>
    <x v="236"/>
    <x v="1"/>
    <d v="2024-10-30T00:00:00"/>
    <x v="0"/>
    <n v="5"/>
    <x v="1"/>
    <s v="No"/>
    <x v="1"/>
    <s v="No"/>
    <n v="0"/>
    <n v="0"/>
    <x v="1"/>
  </r>
  <r>
    <x v="248"/>
    <x v="237"/>
    <x v="0"/>
    <d v="2024-10-31T00:00:00"/>
    <x v="1"/>
    <n v="15"/>
    <x v="0"/>
    <s v="Yes"/>
    <x v="0"/>
    <s v="Yes"/>
    <n v="20"/>
    <n v="20"/>
    <x v="8"/>
  </r>
  <r>
    <x v="249"/>
    <x v="238"/>
    <x v="2"/>
    <d v="2024-11-01T00:00:00"/>
    <x v="0"/>
    <n v="10"/>
    <x v="2"/>
    <s v="No"/>
    <x v="1"/>
    <s v="Yes"/>
    <n v="20"/>
    <n v="15"/>
    <x v="7"/>
  </r>
  <r>
    <x v="250"/>
    <x v="239"/>
    <x v="1"/>
    <d v="2024-11-02T00:00:00"/>
    <x v="1"/>
    <n v="5"/>
    <x v="0"/>
    <s v="No"/>
    <x v="1"/>
    <s v="No"/>
    <n v="0"/>
    <n v="1"/>
    <x v="4"/>
  </r>
  <r>
    <x v="251"/>
    <x v="240"/>
    <x v="0"/>
    <d v="2024-11-03T00:00:00"/>
    <x v="0"/>
    <n v="15"/>
    <x v="1"/>
    <s v="Yes"/>
    <x v="0"/>
    <s v="Yes"/>
    <n v="20"/>
    <n v="3"/>
    <x v="3"/>
  </r>
  <r>
    <x v="252"/>
    <x v="241"/>
    <x v="2"/>
    <d v="2024-11-04T00:00:00"/>
    <x v="1"/>
    <n v="10"/>
    <x v="0"/>
    <s v="No"/>
    <x v="1"/>
    <s v="Yes"/>
    <n v="20"/>
    <n v="10"/>
    <x v="2"/>
  </r>
  <r>
    <x v="253"/>
    <x v="242"/>
    <x v="1"/>
    <d v="2024-11-05T00:00:00"/>
    <x v="0"/>
    <n v="5"/>
    <x v="2"/>
    <s v="No"/>
    <x v="1"/>
    <s v="No"/>
    <n v="0"/>
    <n v="0"/>
    <x v="1"/>
  </r>
  <r>
    <x v="254"/>
    <x v="243"/>
    <x v="0"/>
    <d v="2024-11-06T00:00:00"/>
    <x v="1"/>
    <n v="15"/>
    <x v="0"/>
    <s v="Yes"/>
    <x v="0"/>
    <s v="Yes"/>
    <n v="20"/>
    <n v="15"/>
    <x v="14"/>
  </r>
  <r>
    <x v="255"/>
    <x v="244"/>
    <x v="1"/>
    <d v="2024-11-07T00:00:00"/>
    <x v="0"/>
    <n v="5"/>
    <x v="0"/>
    <s v="No"/>
    <x v="1"/>
    <s v="No"/>
    <n v="0"/>
    <n v="0"/>
    <x v="1"/>
  </r>
  <r>
    <x v="256"/>
    <x v="245"/>
    <x v="0"/>
    <d v="2024-11-08T00:00:00"/>
    <x v="1"/>
    <n v="15"/>
    <x v="2"/>
    <s v="Yes"/>
    <x v="0"/>
    <s v="Yes"/>
    <n v="20"/>
    <n v="7"/>
    <x v="12"/>
  </r>
  <r>
    <x v="257"/>
    <x v="246"/>
    <x v="2"/>
    <d v="2024-11-09T00:00:00"/>
    <x v="0"/>
    <n v="10"/>
    <x v="1"/>
    <s v="No"/>
    <x v="1"/>
    <s v="Yes"/>
    <n v="20"/>
    <n v="10"/>
    <x v="2"/>
  </r>
  <r>
    <x v="258"/>
    <x v="247"/>
    <x v="1"/>
    <d v="2024-11-10T00:00:00"/>
    <x v="1"/>
    <n v="5"/>
    <x v="2"/>
    <s v="No"/>
    <x v="1"/>
    <s v="No"/>
    <n v="0"/>
    <n v="1"/>
    <x v="4"/>
  </r>
  <r>
    <x v="259"/>
    <x v="248"/>
    <x v="0"/>
    <d v="2024-11-11T00:00:00"/>
    <x v="0"/>
    <n v="15"/>
    <x v="0"/>
    <s v="Yes"/>
    <x v="0"/>
    <s v="Yes"/>
    <n v="20"/>
    <n v="15"/>
    <x v="14"/>
  </r>
  <r>
    <x v="260"/>
    <x v="249"/>
    <x v="2"/>
    <d v="2024-11-12T00:00:00"/>
    <x v="1"/>
    <n v="10"/>
    <x v="0"/>
    <s v="No"/>
    <x v="1"/>
    <s v="Yes"/>
    <n v="20"/>
    <n v="5"/>
    <x v="13"/>
  </r>
  <r>
    <x v="261"/>
    <x v="250"/>
    <x v="1"/>
    <d v="2024-11-13T00:00:00"/>
    <x v="0"/>
    <n v="5"/>
    <x v="1"/>
    <s v="No"/>
    <x v="1"/>
    <s v="No"/>
    <n v="0"/>
    <n v="0"/>
    <x v="1"/>
  </r>
  <r>
    <x v="262"/>
    <x v="251"/>
    <x v="0"/>
    <d v="2024-11-14T00:00:00"/>
    <x v="1"/>
    <n v="15"/>
    <x v="2"/>
    <s v="Yes"/>
    <x v="0"/>
    <s v="Yes"/>
    <n v="20"/>
    <n v="20"/>
    <x v="8"/>
  </r>
  <r>
    <x v="263"/>
    <x v="252"/>
    <x v="2"/>
    <d v="2024-11-15T00:00:00"/>
    <x v="0"/>
    <n v="10"/>
    <x v="2"/>
    <s v="No"/>
    <x v="1"/>
    <s v="Yes"/>
    <n v="20"/>
    <n v="12"/>
    <x v="10"/>
  </r>
  <r>
    <x v="264"/>
    <x v="253"/>
    <x v="1"/>
    <d v="2024-11-16T00:00:00"/>
    <x v="1"/>
    <n v="5"/>
    <x v="0"/>
    <s v="No"/>
    <x v="1"/>
    <s v="No"/>
    <n v="0"/>
    <n v="2"/>
    <x v="11"/>
  </r>
  <r>
    <x v="265"/>
    <x v="254"/>
    <x v="0"/>
    <d v="2024-11-17T00:00:00"/>
    <x v="0"/>
    <n v="15"/>
    <x v="1"/>
    <s v="Yes"/>
    <x v="0"/>
    <s v="Yes"/>
    <n v="20"/>
    <n v="5"/>
    <x v="0"/>
  </r>
  <r>
    <x v="266"/>
    <x v="255"/>
    <x v="2"/>
    <d v="2024-11-18T00:00:00"/>
    <x v="1"/>
    <n v="10"/>
    <x v="0"/>
    <s v="No"/>
    <x v="1"/>
    <s v="Yes"/>
    <n v="20"/>
    <n v="10"/>
    <x v="2"/>
  </r>
  <r>
    <x v="267"/>
    <x v="256"/>
    <x v="1"/>
    <d v="2024-11-19T00:00:00"/>
    <x v="0"/>
    <n v="5"/>
    <x v="2"/>
    <s v="No"/>
    <x v="1"/>
    <s v="No"/>
    <n v="0"/>
    <n v="0"/>
    <x v="1"/>
  </r>
  <r>
    <x v="268"/>
    <x v="257"/>
    <x v="0"/>
    <d v="2024-11-20T00:00:00"/>
    <x v="1"/>
    <n v="15"/>
    <x v="0"/>
    <s v="Yes"/>
    <x v="0"/>
    <s v="Yes"/>
    <n v="20"/>
    <n v="3"/>
    <x v="3"/>
  </r>
  <r>
    <x v="269"/>
    <x v="258"/>
    <x v="2"/>
    <d v="2024-11-21T00:00:00"/>
    <x v="0"/>
    <n v="10"/>
    <x v="1"/>
    <s v="No"/>
    <x v="1"/>
    <s v="Yes"/>
    <n v="20"/>
    <n v="15"/>
    <x v="7"/>
  </r>
  <r>
    <x v="270"/>
    <x v="259"/>
    <x v="1"/>
    <d v="2024-11-22T00:00:00"/>
    <x v="1"/>
    <n v="5"/>
    <x v="0"/>
    <s v="No"/>
    <x v="1"/>
    <s v="No"/>
    <n v="0"/>
    <n v="1"/>
    <x v="4"/>
  </r>
  <r>
    <x v="271"/>
    <x v="260"/>
    <x v="0"/>
    <d v="2024-11-23T00:00:00"/>
    <x v="0"/>
    <n v="15"/>
    <x v="2"/>
    <s v="Yes"/>
    <x v="0"/>
    <s v="Yes"/>
    <n v="20"/>
    <n v="7"/>
    <x v="12"/>
  </r>
  <r>
    <x v="272"/>
    <x v="119"/>
    <x v="2"/>
    <d v="2024-11-24T00:00:00"/>
    <x v="1"/>
    <n v="10"/>
    <x v="0"/>
    <s v="No"/>
    <x v="1"/>
    <s v="Yes"/>
    <n v="20"/>
    <n v="10"/>
    <x v="2"/>
  </r>
  <r>
    <x v="273"/>
    <x v="261"/>
    <x v="1"/>
    <d v="2024-11-25T00:00:00"/>
    <x v="0"/>
    <n v="5"/>
    <x v="1"/>
    <s v="No"/>
    <x v="1"/>
    <s v="No"/>
    <n v="0"/>
    <n v="0"/>
    <x v="1"/>
  </r>
  <r>
    <x v="274"/>
    <x v="262"/>
    <x v="0"/>
    <d v="2024-11-26T00:00:00"/>
    <x v="1"/>
    <n v="15"/>
    <x v="0"/>
    <s v="Yes"/>
    <x v="0"/>
    <s v="Yes"/>
    <n v="20"/>
    <n v="20"/>
    <x v="8"/>
  </r>
  <r>
    <x v="275"/>
    <x v="263"/>
    <x v="2"/>
    <d v="2024-11-27T00:00:00"/>
    <x v="0"/>
    <n v="10"/>
    <x v="2"/>
    <s v="No"/>
    <x v="1"/>
    <s v="Yes"/>
    <n v="20"/>
    <n v="15"/>
    <x v="7"/>
  </r>
  <r>
    <x v="276"/>
    <x v="264"/>
    <x v="1"/>
    <d v="2024-11-28T00:00:00"/>
    <x v="1"/>
    <n v="5"/>
    <x v="0"/>
    <s v="No"/>
    <x v="1"/>
    <s v="No"/>
    <n v="0"/>
    <n v="1"/>
    <x v="4"/>
  </r>
  <r>
    <x v="277"/>
    <x v="265"/>
    <x v="0"/>
    <d v="2024-11-29T00:00:00"/>
    <x v="0"/>
    <n v="15"/>
    <x v="1"/>
    <s v="Yes"/>
    <x v="0"/>
    <s v="Yes"/>
    <n v="20"/>
    <n v="3"/>
    <x v="3"/>
  </r>
  <r>
    <x v="278"/>
    <x v="266"/>
    <x v="2"/>
    <d v="2024-11-30T00:00:00"/>
    <x v="1"/>
    <n v="10"/>
    <x v="0"/>
    <s v="No"/>
    <x v="1"/>
    <s v="Yes"/>
    <n v="20"/>
    <n v="10"/>
    <x v="2"/>
  </r>
  <r>
    <x v="279"/>
    <x v="267"/>
    <x v="1"/>
    <d v="2024-12-01T00:00:00"/>
    <x v="0"/>
    <n v="5"/>
    <x v="2"/>
    <s v="No"/>
    <x v="1"/>
    <s v="No"/>
    <n v="0"/>
    <n v="0"/>
    <x v="1"/>
  </r>
  <r>
    <x v="280"/>
    <x v="268"/>
    <x v="0"/>
    <d v="2024-12-02T00:00:00"/>
    <x v="1"/>
    <n v="15"/>
    <x v="0"/>
    <s v="Yes"/>
    <x v="0"/>
    <s v="Yes"/>
    <n v="20"/>
    <n v="15"/>
    <x v="14"/>
  </r>
  <r>
    <x v="281"/>
    <x v="269"/>
    <x v="2"/>
    <d v="2024-12-03T00:00:00"/>
    <x v="0"/>
    <n v="10"/>
    <x v="1"/>
    <s v="No"/>
    <x v="1"/>
    <s v="Yes"/>
    <n v="20"/>
    <n v="15"/>
    <x v="7"/>
  </r>
  <r>
    <x v="282"/>
    <x v="270"/>
    <x v="1"/>
    <d v="2024-12-04T00:00:00"/>
    <x v="1"/>
    <n v="5"/>
    <x v="0"/>
    <s v="No"/>
    <x v="1"/>
    <s v="No"/>
    <n v="0"/>
    <n v="1"/>
    <x v="4"/>
  </r>
  <r>
    <x v="283"/>
    <x v="271"/>
    <x v="0"/>
    <d v="2024-12-05T00:00:00"/>
    <x v="0"/>
    <n v="15"/>
    <x v="2"/>
    <s v="Yes"/>
    <x v="0"/>
    <s v="Yes"/>
    <n v="20"/>
    <n v="7"/>
    <x v="12"/>
  </r>
  <r>
    <x v="284"/>
    <x v="130"/>
    <x v="2"/>
    <d v="2024-12-06T00:00:00"/>
    <x v="1"/>
    <n v="10"/>
    <x v="0"/>
    <s v="No"/>
    <x v="1"/>
    <s v="Yes"/>
    <n v="20"/>
    <n v="10"/>
    <x v="2"/>
  </r>
  <r>
    <x v="285"/>
    <x v="131"/>
    <x v="1"/>
    <d v="2024-12-07T00:00:00"/>
    <x v="0"/>
    <n v="5"/>
    <x v="1"/>
    <s v="No"/>
    <x v="1"/>
    <s v="No"/>
    <n v="0"/>
    <n v="0"/>
    <x v="1"/>
  </r>
  <r>
    <x v="286"/>
    <x v="181"/>
    <x v="0"/>
    <d v="2024-12-08T00:00:00"/>
    <x v="1"/>
    <n v="15"/>
    <x v="0"/>
    <s v="Yes"/>
    <x v="0"/>
    <s v="Yes"/>
    <n v="20"/>
    <n v="20"/>
    <x v="8"/>
  </r>
  <r>
    <x v="287"/>
    <x v="272"/>
    <x v="2"/>
    <d v="2024-12-09T00:00:00"/>
    <x v="0"/>
    <n v="10"/>
    <x v="2"/>
    <s v="No"/>
    <x v="1"/>
    <s v="Yes"/>
    <n v="20"/>
    <n v="12"/>
    <x v="10"/>
  </r>
  <r>
    <x v="288"/>
    <x v="273"/>
    <x v="1"/>
    <d v="2024-12-10T00:00:00"/>
    <x v="1"/>
    <n v="5"/>
    <x v="0"/>
    <s v="No"/>
    <x v="1"/>
    <s v="No"/>
    <n v="0"/>
    <n v="2"/>
    <x v="11"/>
  </r>
  <r>
    <x v="289"/>
    <x v="274"/>
    <x v="0"/>
    <d v="2024-12-11T00:00:00"/>
    <x v="0"/>
    <n v="15"/>
    <x v="1"/>
    <s v="Yes"/>
    <x v="0"/>
    <s v="Yes"/>
    <n v="20"/>
    <n v="5"/>
    <x v="0"/>
  </r>
  <r>
    <x v="290"/>
    <x v="275"/>
    <x v="2"/>
    <d v="2024-12-12T00:00:00"/>
    <x v="1"/>
    <n v="10"/>
    <x v="0"/>
    <s v="No"/>
    <x v="1"/>
    <s v="Yes"/>
    <n v="20"/>
    <n v="10"/>
    <x v="2"/>
  </r>
  <r>
    <x v="291"/>
    <x v="276"/>
    <x v="1"/>
    <d v="2024-12-13T00:00:00"/>
    <x v="0"/>
    <n v="5"/>
    <x v="2"/>
    <s v="No"/>
    <x v="1"/>
    <s v="No"/>
    <n v="0"/>
    <n v="0"/>
    <x v="1"/>
  </r>
  <r>
    <x v="292"/>
    <x v="277"/>
    <x v="0"/>
    <d v="2024-12-14T00:00:00"/>
    <x v="1"/>
    <n v="15"/>
    <x v="0"/>
    <s v="Yes"/>
    <x v="0"/>
    <s v="Yes"/>
    <n v="20"/>
    <n v="3"/>
    <x v="3"/>
  </r>
  <r>
    <x v="293"/>
    <x v="278"/>
    <x v="2"/>
    <d v="2024-12-15T00:00:00"/>
    <x v="0"/>
    <n v="10"/>
    <x v="1"/>
    <s v="No"/>
    <x v="1"/>
    <s v="Yes"/>
    <n v="20"/>
    <n v="15"/>
    <x v="7"/>
  </r>
  <r>
    <x v="294"/>
    <x v="279"/>
    <x v="1"/>
    <d v="2024-12-16T00:00:00"/>
    <x v="1"/>
    <n v="5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5021E-FE83-4F74-9363-4A208CF224CB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3:C17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F0A3F-970B-4B5A-96FC-C518C8650CBB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4:C7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4EAF1-1464-4271-A641-0B6D0C412EA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E4:F8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D4F2C27-C149-48E8-954D-254D82F94421}" sourceName="Subscription Type">
  <pivotTables>
    <pivotTable tabId="3" name="tbl_annual_total"/>
    <pivotTable tabId="3" name="tbl_easeasonpass_total"/>
    <pivotTable tabId="3" name="Tabela dinâmica3"/>
  </pivotTables>
  <data>
    <tabular pivotCacheId="2110037206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C6026BC-53F1-4682-A42B-28A1A9C77F1C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rgb="FF22C55E"/>
  </sheetPr>
  <dimension ref="B3:P21"/>
  <sheetViews>
    <sheetView showGridLines="0" topLeftCell="A9" zoomScaleNormal="100" workbookViewId="0">
      <selection activeCell="AC14" sqref="AC14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rgb="FF22C55E"/>
  </sheetPr>
  <dimension ref="A1:M296"/>
  <sheetViews>
    <sheetView topLeftCell="A2" zoomScale="90" zoomScaleNormal="90" workbookViewId="0">
      <selection activeCell="AC14" sqref="AC1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rgb="FF22C55E"/>
  </sheetPr>
  <dimension ref="B2:H18"/>
  <sheetViews>
    <sheetView showGridLines="0" workbookViewId="0">
      <selection activeCell="AC14" sqref="AC14"/>
    </sheetView>
  </sheetViews>
  <sheetFormatPr defaultRowHeight="14.4" x14ac:dyDescent="0.3"/>
  <cols>
    <col min="2" max="2" width="16.77734375" bestFit="1" customWidth="1"/>
    <col min="3" max="3" width="25.5546875" bestFit="1" customWidth="1"/>
    <col min="4" max="4" width="30.5546875" bestFit="1" customWidth="1"/>
    <col min="5" max="5" width="16.77734375" bestFit="1" customWidth="1"/>
    <col min="6" max="6" width="32.218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2:8" x14ac:dyDescent="0.3">
      <c r="B2" s="12" t="s">
        <v>16</v>
      </c>
      <c r="C2" t="s">
        <v>27</v>
      </c>
      <c r="E2" s="12" t="s">
        <v>16</v>
      </c>
      <c r="F2" t="s">
        <v>27</v>
      </c>
    </row>
    <row r="4" spans="2:8" x14ac:dyDescent="0.3">
      <c r="B4" s="12" t="s">
        <v>313</v>
      </c>
      <c r="C4" t="s">
        <v>315</v>
      </c>
      <c r="E4" s="12" t="s">
        <v>313</v>
      </c>
      <c r="F4" t="s">
        <v>318</v>
      </c>
    </row>
    <row r="5" spans="2:8" x14ac:dyDescent="0.3">
      <c r="B5" s="13" t="s">
        <v>23</v>
      </c>
      <c r="C5" s="14">
        <v>806</v>
      </c>
      <c r="E5" s="13" t="s">
        <v>22</v>
      </c>
      <c r="F5" s="14">
        <v>0</v>
      </c>
    </row>
    <row r="6" spans="2:8" x14ac:dyDescent="0.3">
      <c r="B6" s="13" t="s">
        <v>19</v>
      </c>
      <c r="C6" s="14">
        <v>1502</v>
      </c>
      <c r="E6" s="13" t="s">
        <v>26</v>
      </c>
      <c r="F6" s="14">
        <v>480</v>
      </c>
    </row>
    <row r="7" spans="2:8" x14ac:dyDescent="0.3">
      <c r="B7" s="13" t="s">
        <v>314</v>
      </c>
      <c r="C7" s="14">
        <v>2308</v>
      </c>
      <c r="E7" s="13" t="s">
        <v>18</v>
      </c>
      <c r="F7" s="14">
        <v>660</v>
      </c>
    </row>
    <row r="8" spans="2:8" x14ac:dyDescent="0.3">
      <c r="E8" s="13" t="s">
        <v>314</v>
      </c>
      <c r="F8" s="14">
        <v>1140</v>
      </c>
      <c r="H8" s="18">
        <f>GETPIVOTDATA("Minecraft Season Pass Price",$E$4)</f>
        <v>1140</v>
      </c>
    </row>
    <row r="11" spans="2:8" x14ac:dyDescent="0.3">
      <c r="B11" s="12" t="s">
        <v>16</v>
      </c>
      <c r="C11" t="s">
        <v>27</v>
      </c>
    </row>
    <row r="13" spans="2:8" x14ac:dyDescent="0.3">
      <c r="B13" s="12" t="s">
        <v>313</v>
      </c>
      <c r="C13" t="s">
        <v>317</v>
      </c>
    </row>
    <row r="14" spans="2:8" x14ac:dyDescent="0.3">
      <c r="B14" s="13" t="s">
        <v>22</v>
      </c>
      <c r="C14">
        <v>0</v>
      </c>
    </row>
    <row r="15" spans="2:8" x14ac:dyDescent="0.3">
      <c r="B15" s="13" t="s">
        <v>26</v>
      </c>
      <c r="C15">
        <v>0</v>
      </c>
    </row>
    <row r="16" spans="2:8" x14ac:dyDescent="0.3">
      <c r="B16" s="13" t="s">
        <v>18</v>
      </c>
      <c r="C16">
        <v>990</v>
      </c>
      <c r="F16" s="18">
        <f>GETPIVOTDATA("EA Play Season Pass
Price",$B$13)</f>
        <v>990</v>
      </c>
    </row>
    <row r="17" spans="2:3" x14ac:dyDescent="0.3">
      <c r="B17" s="13" t="s">
        <v>314</v>
      </c>
      <c r="C17">
        <v>990</v>
      </c>
    </row>
    <row r="18" spans="2:3" s="15" customFormat="1" x14ac:dyDescent="0.3"/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L167"/>
  <sheetViews>
    <sheetView showGridLines="0" showRowColHeaders="0" tabSelected="1" zoomScale="70" zoomScaleNormal="70" workbookViewId="0">
      <selection activeCell="U2" sqref="U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9.95" customHeight="1" x14ac:dyDescent="0.3"/>
  <cols>
    <col min="1" max="1" width="31.33203125" style="4" customWidth="1"/>
    <col min="2" max="2" width="9.33203125" customWidth="1"/>
    <col min="12" max="12" width="6.5546875" customWidth="1"/>
  </cols>
  <sheetData>
    <row r="1" spans="1:12" s="15" customFormat="1" ht="19.95" customHeight="1" x14ac:dyDescent="0.3">
      <c r="A1" s="4"/>
    </row>
    <row r="2" spans="1:12" s="15" customFormat="1" ht="19.95" customHeight="1" thickBot="1" x14ac:dyDescent="0.5">
      <c r="A2" s="4"/>
      <c r="C2" s="16" t="s">
        <v>316</v>
      </c>
      <c r="D2" s="17"/>
      <c r="E2" s="17"/>
      <c r="F2" s="17"/>
      <c r="G2" s="17"/>
      <c r="H2" s="17"/>
      <c r="I2" s="17"/>
      <c r="J2" s="17"/>
      <c r="K2" s="17"/>
      <c r="L2" s="17"/>
    </row>
    <row r="3" spans="1:12" s="15" customFormat="1" ht="19.95" customHeight="1" x14ac:dyDescent="0.3">
      <c r="A3" s="4"/>
    </row>
    <row r="4" spans="1:12" s="7" customFormat="1" ht="19.95" customHeight="1" x14ac:dyDescent="0.3">
      <c r="A4" s="4"/>
      <c r="C4" s="7" t="s">
        <v>320</v>
      </c>
    </row>
    <row r="5" spans="1:12" s="7" customFormat="1" ht="19.95" customHeight="1" x14ac:dyDescent="0.3">
      <c r="A5" s="4"/>
    </row>
    <row r="6" spans="1:12" s="7" customFormat="1" ht="19.95" customHeight="1" x14ac:dyDescent="0.3">
      <c r="A6" s="4"/>
    </row>
    <row r="7" spans="1:12" s="7" customFormat="1" ht="19.95" customHeight="1" x14ac:dyDescent="0.3">
      <c r="A7" s="19" t="s">
        <v>319</v>
      </c>
    </row>
    <row r="8" spans="1:12" s="7" customFormat="1" ht="19.95" customHeight="1" x14ac:dyDescent="0.3">
      <c r="A8" s="4"/>
    </row>
    <row r="9" spans="1:12" s="7" customFormat="1" ht="19.95" customHeight="1" x14ac:dyDescent="0.3">
      <c r="A9" s="4"/>
    </row>
    <row r="10" spans="1:12" s="7" customFormat="1" ht="19.95" customHeight="1" x14ac:dyDescent="0.3">
      <c r="A10" s="4"/>
    </row>
    <row r="11" spans="1:12" s="7" customFormat="1" ht="19.95" customHeight="1" x14ac:dyDescent="0.3">
      <c r="A11" s="4"/>
    </row>
    <row r="12" spans="1:12" s="7" customFormat="1" ht="19.95" customHeight="1" x14ac:dyDescent="0.3">
      <c r="A12" s="4"/>
    </row>
    <row r="13" spans="1:12" s="7" customFormat="1" ht="19.95" customHeight="1" x14ac:dyDescent="0.3">
      <c r="A13" s="4"/>
    </row>
    <row r="14" spans="1:12" s="7" customFormat="1" ht="19.95" customHeight="1" x14ac:dyDescent="0.3">
      <c r="A14" s="4"/>
    </row>
    <row r="15" spans="1:12" s="7" customFormat="1" ht="19.95" customHeight="1" x14ac:dyDescent="0.3">
      <c r="A15" s="4"/>
    </row>
    <row r="16" spans="1:12" s="7" customFormat="1" ht="19.95" customHeight="1" x14ac:dyDescent="0.3">
      <c r="A16" s="4"/>
    </row>
    <row r="17" spans="1:1" s="7" customFormat="1" ht="19.95" customHeight="1" x14ac:dyDescent="0.3">
      <c r="A17" s="4"/>
    </row>
    <row r="18" spans="1:1" s="7" customFormat="1" ht="19.95" customHeight="1" x14ac:dyDescent="0.3">
      <c r="A18" s="4"/>
    </row>
    <row r="19" spans="1:1" s="7" customFormat="1" ht="19.95" customHeight="1" x14ac:dyDescent="0.3">
      <c r="A19" s="4"/>
    </row>
    <row r="20" spans="1:1" s="7" customFormat="1" ht="19.95" customHeight="1" x14ac:dyDescent="0.3">
      <c r="A20" s="4"/>
    </row>
    <row r="21" spans="1:1" s="7" customFormat="1" ht="19.95" customHeight="1" x14ac:dyDescent="0.3">
      <c r="A21" s="4"/>
    </row>
    <row r="22" spans="1:1" s="7" customFormat="1" ht="19.95" customHeight="1" x14ac:dyDescent="0.3">
      <c r="A22" s="4"/>
    </row>
    <row r="23" spans="1:1" s="7" customFormat="1" ht="19.95" customHeight="1" x14ac:dyDescent="0.3">
      <c r="A23" s="4"/>
    </row>
    <row r="24" spans="1:1" s="7" customFormat="1" ht="19.95" customHeight="1" x14ac:dyDescent="0.3">
      <c r="A24" s="4"/>
    </row>
    <row r="25" spans="1:1" s="7" customFormat="1" ht="19.95" customHeight="1" x14ac:dyDescent="0.3">
      <c r="A25" s="4"/>
    </row>
    <row r="26" spans="1:1" s="7" customFormat="1" ht="19.95" customHeight="1" x14ac:dyDescent="0.3">
      <c r="A26" s="4"/>
    </row>
    <row r="27" spans="1:1" s="7" customFormat="1" ht="19.95" customHeight="1" x14ac:dyDescent="0.3">
      <c r="A27" s="4"/>
    </row>
    <row r="28" spans="1:1" s="7" customFormat="1" ht="19.95" customHeight="1" x14ac:dyDescent="0.3">
      <c r="A28" s="4"/>
    </row>
    <row r="29" spans="1:1" s="7" customFormat="1" ht="19.95" customHeight="1" x14ac:dyDescent="0.3">
      <c r="A29" s="4"/>
    </row>
    <row r="30" spans="1:1" s="7" customFormat="1" ht="19.95" customHeight="1" x14ac:dyDescent="0.3">
      <c r="A30" s="4"/>
    </row>
    <row r="31" spans="1:1" s="7" customFormat="1" ht="19.95" customHeight="1" x14ac:dyDescent="0.3">
      <c r="A31" s="4"/>
    </row>
    <row r="32" spans="1:1" s="7" customFormat="1" ht="19.95" customHeight="1" x14ac:dyDescent="0.3">
      <c r="A32" s="4"/>
    </row>
    <row r="33" spans="1:1" s="7" customFormat="1" ht="19.95" customHeight="1" x14ac:dyDescent="0.3">
      <c r="A33" s="4"/>
    </row>
    <row r="34" spans="1:1" s="7" customFormat="1" ht="19.95" customHeight="1" x14ac:dyDescent="0.3">
      <c r="A34" s="4"/>
    </row>
    <row r="35" spans="1:1" s="7" customFormat="1" ht="19.95" customHeight="1" x14ac:dyDescent="0.3">
      <c r="A35" s="4"/>
    </row>
    <row r="36" spans="1:1" s="7" customFormat="1" ht="19.95" customHeight="1" x14ac:dyDescent="0.3">
      <c r="A36" s="4"/>
    </row>
    <row r="37" spans="1:1" s="7" customFormat="1" ht="19.95" customHeight="1" x14ac:dyDescent="0.3">
      <c r="A37" s="4"/>
    </row>
    <row r="38" spans="1:1" s="7" customFormat="1" ht="19.95" customHeight="1" x14ac:dyDescent="0.3">
      <c r="A38" s="4"/>
    </row>
    <row r="39" spans="1:1" s="7" customFormat="1" ht="19.95" customHeight="1" x14ac:dyDescent="0.3">
      <c r="A39" s="4"/>
    </row>
    <row r="40" spans="1:1" s="7" customFormat="1" ht="19.95" customHeight="1" x14ac:dyDescent="0.3">
      <c r="A40" s="4"/>
    </row>
    <row r="41" spans="1:1" s="7" customFormat="1" ht="19.95" customHeight="1" x14ac:dyDescent="0.3">
      <c r="A41" s="4"/>
    </row>
    <row r="42" spans="1:1" s="7" customFormat="1" ht="19.95" customHeight="1" x14ac:dyDescent="0.3">
      <c r="A42" s="4"/>
    </row>
    <row r="43" spans="1:1" s="7" customFormat="1" ht="19.95" customHeight="1" x14ac:dyDescent="0.3">
      <c r="A43" s="4"/>
    </row>
    <row r="44" spans="1:1" s="7" customFormat="1" ht="19.95" customHeight="1" x14ac:dyDescent="0.3">
      <c r="A44" s="4"/>
    </row>
    <row r="45" spans="1:1" s="7" customFormat="1" ht="19.95" customHeight="1" x14ac:dyDescent="0.3">
      <c r="A45" s="4"/>
    </row>
    <row r="46" spans="1:1" s="7" customFormat="1" ht="19.95" customHeight="1" x14ac:dyDescent="0.3">
      <c r="A46" s="4"/>
    </row>
    <row r="47" spans="1:1" s="7" customFormat="1" ht="19.95" customHeight="1" x14ac:dyDescent="0.3">
      <c r="A47" s="4"/>
    </row>
    <row r="48" spans="1:1" s="7" customFormat="1" ht="19.95" customHeight="1" x14ac:dyDescent="0.3">
      <c r="A48" s="4"/>
    </row>
    <row r="49" spans="1:1" s="7" customFormat="1" ht="19.95" customHeight="1" x14ac:dyDescent="0.3">
      <c r="A49" s="4"/>
    </row>
    <row r="50" spans="1:1" s="7" customFormat="1" ht="19.95" customHeight="1" x14ac:dyDescent="0.3">
      <c r="A50" s="4"/>
    </row>
    <row r="51" spans="1:1" s="7" customFormat="1" ht="19.95" customHeight="1" x14ac:dyDescent="0.3">
      <c r="A51" s="4"/>
    </row>
    <row r="52" spans="1:1" s="7" customFormat="1" ht="19.95" customHeight="1" x14ac:dyDescent="0.3">
      <c r="A52" s="4"/>
    </row>
    <row r="53" spans="1:1" s="7" customFormat="1" ht="19.95" customHeight="1" x14ac:dyDescent="0.3">
      <c r="A53" s="4"/>
    </row>
    <row r="54" spans="1:1" s="7" customFormat="1" ht="19.95" customHeight="1" x14ac:dyDescent="0.3">
      <c r="A54" s="4"/>
    </row>
    <row r="55" spans="1:1" s="7" customFormat="1" ht="19.95" customHeight="1" x14ac:dyDescent="0.3">
      <c r="A55" s="4"/>
    </row>
    <row r="56" spans="1:1" s="7" customFormat="1" ht="19.95" customHeight="1" x14ac:dyDescent="0.3">
      <c r="A56" s="4"/>
    </row>
    <row r="57" spans="1:1" s="7" customFormat="1" ht="19.95" customHeight="1" x14ac:dyDescent="0.3">
      <c r="A57" s="4"/>
    </row>
    <row r="58" spans="1:1" s="7" customFormat="1" ht="19.95" customHeight="1" x14ac:dyDescent="0.3">
      <c r="A58" s="4"/>
    </row>
    <row r="59" spans="1:1" s="7" customFormat="1" ht="19.95" customHeight="1" x14ac:dyDescent="0.3">
      <c r="A59" s="4"/>
    </row>
    <row r="60" spans="1:1" s="7" customFormat="1" ht="19.95" customHeight="1" x14ac:dyDescent="0.3">
      <c r="A60" s="4"/>
    </row>
    <row r="61" spans="1:1" s="7" customFormat="1" ht="19.95" customHeight="1" x14ac:dyDescent="0.3">
      <c r="A61" s="4"/>
    </row>
    <row r="62" spans="1:1" s="7" customFormat="1" ht="19.95" customHeight="1" x14ac:dyDescent="0.3">
      <c r="A62" s="4"/>
    </row>
    <row r="63" spans="1:1" s="7" customFormat="1" ht="19.95" customHeight="1" x14ac:dyDescent="0.3">
      <c r="A63" s="4"/>
    </row>
    <row r="64" spans="1:1" s="7" customFormat="1" ht="19.95" customHeight="1" x14ac:dyDescent="0.3">
      <c r="A64" s="4"/>
    </row>
    <row r="65" spans="1:1" s="7" customFormat="1" ht="19.95" customHeight="1" x14ac:dyDescent="0.3">
      <c r="A65" s="4"/>
    </row>
    <row r="66" spans="1:1" s="7" customFormat="1" ht="19.95" customHeight="1" x14ac:dyDescent="0.3">
      <c r="A66" s="4"/>
    </row>
    <row r="67" spans="1:1" s="7" customFormat="1" ht="19.95" customHeight="1" x14ac:dyDescent="0.3">
      <c r="A67" s="4"/>
    </row>
    <row r="68" spans="1:1" s="7" customFormat="1" ht="19.95" customHeight="1" x14ac:dyDescent="0.3">
      <c r="A68" s="4"/>
    </row>
    <row r="69" spans="1:1" s="7" customFormat="1" ht="19.95" customHeight="1" x14ac:dyDescent="0.3">
      <c r="A69" s="4"/>
    </row>
    <row r="70" spans="1:1" s="7" customFormat="1" ht="19.95" customHeight="1" x14ac:dyDescent="0.3">
      <c r="A70" s="4"/>
    </row>
    <row r="71" spans="1:1" s="7" customFormat="1" ht="19.95" customHeight="1" x14ac:dyDescent="0.3">
      <c r="A71" s="4"/>
    </row>
    <row r="72" spans="1:1" s="7" customFormat="1" ht="19.95" customHeight="1" x14ac:dyDescent="0.3">
      <c r="A72" s="4"/>
    </row>
    <row r="73" spans="1:1" s="7" customFormat="1" ht="19.95" customHeight="1" x14ac:dyDescent="0.3">
      <c r="A73" s="4"/>
    </row>
    <row r="74" spans="1:1" s="7" customFormat="1" ht="19.95" customHeight="1" x14ac:dyDescent="0.3">
      <c r="A74" s="4"/>
    </row>
    <row r="75" spans="1:1" s="7" customFormat="1" ht="19.95" customHeight="1" x14ac:dyDescent="0.3">
      <c r="A75" s="4"/>
    </row>
    <row r="76" spans="1:1" s="7" customFormat="1" ht="19.95" customHeight="1" x14ac:dyDescent="0.3">
      <c r="A76" s="4"/>
    </row>
    <row r="77" spans="1:1" s="7" customFormat="1" ht="19.95" customHeight="1" x14ac:dyDescent="0.3">
      <c r="A77" s="4"/>
    </row>
    <row r="78" spans="1:1" s="7" customFormat="1" ht="19.95" customHeight="1" x14ac:dyDescent="0.3">
      <c r="A78" s="4"/>
    </row>
    <row r="79" spans="1:1" s="7" customFormat="1" ht="19.95" customHeight="1" x14ac:dyDescent="0.3">
      <c r="A79" s="4"/>
    </row>
    <row r="80" spans="1:1" s="7" customFormat="1" ht="19.95" customHeight="1" x14ac:dyDescent="0.3">
      <c r="A80" s="4"/>
    </row>
    <row r="81" spans="1:1" s="7" customFormat="1" ht="19.95" customHeight="1" x14ac:dyDescent="0.3">
      <c r="A81" s="4"/>
    </row>
    <row r="82" spans="1:1" s="7" customFormat="1" ht="19.95" customHeight="1" x14ac:dyDescent="0.3">
      <c r="A82" s="4"/>
    </row>
    <row r="83" spans="1:1" s="7" customFormat="1" ht="19.95" customHeight="1" x14ac:dyDescent="0.3">
      <c r="A83" s="4"/>
    </row>
    <row r="84" spans="1:1" s="7" customFormat="1" ht="19.95" customHeight="1" x14ac:dyDescent="0.3">
      <c r="A84" s="4"/>
    </row>
    <row r="85" spans="1:1" s="7" customFormat="1" ht="19.95" customHeight="1" x14ac:dyDescent="0.3">
      <c r="A85" s="4"/>
    </row>
    <row r="86" spans="1:1" s="7" customFormat="1" ht="19.95" customHeight="1" x14ac:dyDescent="0.3">
      <c r="A86" s="4"/>
    </row>
    <row r="87" spans="1:1" s="7" customFormat="1" ht="19.95" customHeight="1" x14ac:dyDescent="0.3">
      <c r="A87" s="4"/>
    </row>
    <row r="88" spans="1:1" s="7" customFormat="1" ht="19.95" customHeight="1" x14ac:dyDescent="0.3">
      <c r="A88" s="4"/>
    </row>
    <row r="89" spans="1:1" s="7" customFormat="1" ht="19.95" customHeight="1" x14ac:dyDescent="0.3">
      <c r="A89" s="4"/>
    </row>
    <row r="90" spans="1:1" s="7" customFormat="1" ht="19.95" customHeight="1" x14ac:dyDescent="0.3">
      <c r="A90" s="4"/>
    </row>
    <row r="91" spans="1:1" s="7" customFormat="1" ht="19.95" customHeight="1" x14ac:dyDescent="0.3">
      <c r="A91" s="4"/>
    </row>
    <row r="92" spans="1:1" s="7" customFormat="1" ht="19.95" customHeight="1" x14ac:dyDescent="0.3">
      <c r="A92" s="4"/>
    </row>
    <row r="93" spans="1:1" s="7" customFormat="1" ht="19.95" customHeight="1" x14ac:dyDescent="0.3">
      <c r="A93" s="4"/>
    </row>
    <row r="94" spans="1:1" s="7" customFormat="1" ht="19.95" customHeight="1" x14ac:dyDescent="0.3">
      <c r="A94" s="4"/>
    </row>
    <row r="95" spans="1:1" s="7" customFormat="1" ht="19.95" customHeight="1" x14ac:dyDescent="0.3">
      <c r="A95" s="4"/>
    </row>
    <row r="96" spans="1:1" s="7" customFormat="1" ht="19.95" customHeight="1" x14ac:dyDescent="0.3">
      <c r="A96" s="4"/>
    </row>
    <row r="97" spans="1:1" s="7" customFormat="1" ht="19.95" customHeight="1" x14ac:dyDescent="0.3">
      <c r="A97" s="4"/>
    </row>
    <row r="98" spans="1:1" s="7" customFormat="1" ht="19.95" customHeight="1" x14ac:dyDescent="0.3">
      <c r="A98" s="4"/>
    </row>
    <row r="99" spans="1:1" s="7" customFormat="1" ht="19.95" customHeight="1" x14ac:dyDescent="0.3">
      <c r="A99" s="4"/>
    </row>
    <row r="100" spans="1:1" s="7" customFormat="1" ht="19.95" customHeight="1" x14ac:dyDescent="0.3">
      <c r="A100" s="4"/>
    </row>
    <row r="101" spans="1:1" s="7" customFormat="1" ht="19.95" customHeight="1" x14ac:dyDescent="0.3">
      <c r="A101" s="4"/>
    </row>
    <row r="102" spans="1:1" s="7" customFormat="1" ht="19.95" customHeight="1" x14ac:dyDescent="0.3">
      <c r="A102" s="4"/>
    </row>
    <row r="103" spans="1:1" s="7" customFormat="1" ht="19.95" customHeight="1" x14ac:dyDescent="0.3">
      <c r="A103" s="4"/>
    </row>
    <row r="104" spans="1:1" s="7" customFormat="1" ht="19.95" customHeight="1" x14ac:dyDescent="0.3">
      <c r="A104" s="4"/>
    </row>
    <row r="105" spans="1:1" s="7" customFormat="1" ht="19.95" customHeight="1" x14ac:dyDescent="0.3">
      <c r="A105" s="4"/>
    </row>
    <row r="106" spans="1:1" s="7" customFormat="1" ht="19.95" customHeight="1" x14ac:dyDescent="0.3">
      <c r="A106" s="4"/>
    </row>
    <row r="107" spans="1:1" s="7" customFormat="1" ht="19.95" customHeight="1" x14ac:dyDescent="0.3">
      <c r="A107" s="4"/>
    </row>
    <row r="108" spans="1:1" s="7" customFormat="1" ht="19.95" customHeight="1" x14ac:dyDescent="0.3">
      <c r="A108" s="4"/>
    </row>
    <row r="109" spans="1:1" s="7" customFormat="1" ht="19.95" customHeight="1" x14ac:dyDescent="0.3">
      <c r="A109" s="4"/>
    </row>
    <row r="110" spans="1:1" s="7" customFormat="1" ht="19.95" customHeight="1" x14ac:dyDescent="0.3">
      <c r="A110" s="4"/>
    </row>
    <row r="111" spans="1:1" s="7" customFormat="1" ht="19.95" customHeight="1" x14ac:dyDescent="0.3">
      <c r="A111" s="4"/>
    </row>
    <row r="112" spans="1:1" s="7" customFormat="1" ht="19.95" customHeight="1" x14ac:dyDescent="0.3">
      <c r="A112" s="4"/>
    </row>
    <row r="113" spans="1:1" s="7" customFormat="1" ht="19.95" customHeight="1" x14ac:dyDescent="0.3">
      <c r="A113" s="4"/>
    </row>
    <row r="114" spans="1:1" s="7" customFormat="1" ht="19.95" customHeight="1" x14ac:dyDescent="0.3">
      <c r="A114" s="4"/>
    </row>
    <row r="115" spans="1:1" s="7" customFormat="1" ht="19.95" customHeight="1" x14ac:dyDescent="0.3">
      <c r="A115" s="4"/>
    </row>
    <row r="116" spans="1:1" s="7" customFormat="1" ht="19.95" customHeight="1" x14ac:dyDescent="0.3">
      <c r="A116" s="4"/>
    </row>
    <row r="117" spans="1:1" s="7" customFormat="1" ht="19.95" customHeight="1" x14ac:dyDescent="0.3">
      <c r="A117" s="4"/>
    </row>
    <row r="118" spans="1:1" s="7" customFormat="1" ht="19.95" customHeight="1" x14ac:dyDescent="0.3">
      <c r="A118" s="4"/>
    </row>
    <row r="119" spans="1:1" s="7" customFormat="1" ht="19.95" customHeight="1" x14ac:dyDescent="0.3">
      <c r="A119" s="4"/>
    </row>
    <row r="120" spans="1:1" s="7" customFormat="1" ht="19.95" customHeight="1" x14ac:dyDescent="0.3">
      <c r="A120" s="4"/>
    </row>
    <row r="121" spans="1:1" s="7" customFormat="1" ht="19.95" customHeight="1" x14ac:dyDescent="0.3">
      <c r="A121" s="4"/>
    </row>
    <row r="122" spans="1:1" s="7" customFormat="1" ht="19.95" customHeight="1" x14ac:dyDescent="0.3">
      <c r="A122" s="4"/>
    </row>
    <row r="123" spans="1:1" s="7" customFormat="1" ht="19.95" customHeight="1" x14ac:dyDescent="0.3">
      <c r="A123" s="4"/>
    </row>
    <row r="124" spans="1:1" s="7" customFormat="1" ht="19.95" customHeight="1" x14ac:dyDescent="0.3">
      <c r="A124" s="4"/>
    </row>
    <row r="125" spans="1:1" s="7" customFormat="1" ht="19.95" customHeight="1" x14ac:dyDescent="0.3">
      <c r="A125" s="4"/>
    </row>
    <row r="126" spans="1:1" s="7" customFormat="1" ht="19.95" customHeight="1" x14ac:dyDescent="0.3">
      <c r="A126" s="4"/>
    </row>
    <row r="127" spans="1:1" s="7" customFormat="1" ht="19.95" customHeight="1" x14ac:dyDescent="0.3">
      <c r="A127" s="4"/>
    </row>
    <row r="128" spans="1:1" s="7" customFormat="1" ht="19.95" customHeight="1" x14ac:dyDescent="0.3">
      <c r="A128" s="4"/>
    </row>
    <row r="129" spans="1:1" s="7" customFormat="1" ht="19.95" customHeight="1" x14ac:dyDescent="0.3">
      <c r="A129" s="4"/>
    </row>
    <row r="130" spans="1:1" s="7" customFormat="1" ht="19.95" customHeight="1" x14ac:dyDescent="0.3">
      <c r="A130" s="4"/>
    </row>
    <row r="131" spans="1:1" s="7" customFormat="1" ht="19.95" customHeight="1" x14ac:dyDescent="0.3">
      <c r="A131" s="4"/>
    </row>
    <row r="132" spans="1:1" s="7" customFormat="1" ht="19.95" customHeight="1" x14ac:dyDescent="0.3">
      <c r="A132" s="4"/>
    </row>
    <row r="133" spans="1:1" s="7" customFormat="1" ht="19.95" customHeight="1" x14ac:dyDescent="0.3">
      <c r="A133" s="4"/>
    </row>
    <row r="134" spans="1:1" s="7" customFormat="1" ht="19.95" customHeight="1" x14ac:dyDescent="0.3">
      <c r="A134" s="4"/>
    </row>
    <row r="135" spans="1:1" s="7" customFormat="1" ht="19.95" customHeight="1" x14ac:dyDescent="0.3">
      <c r="A135" s="4"/>
    </row>
    <row r="136" spans="1:1" s="7" customFormat="1" ht="19.95" customHeight="1" x14ac:dyDescent="0.3">
      <c r="A136" s="4"/>
    </row>
    <row r="137" spans="1:1" s="7" customFormat="1" ht="19.95" customHeight="1" x14ac:dyDescent="0.3">
      <c r="A137" s="4"/>
    </row>
    <row r="138" spans="1:1" s="7" customFormat="1" ht="19.95" customHeight="1" x14ac:dyDescent="0.3">
      <c r="A138" s="4"/>
    </row>
    <row r="139" spans="1:1" s="7" customFormat="1" ht="19.95" customHeight="1" x14ac:dyDescent="0.3">
      <c r="A139" s="4"/>
    </row>
    <row r="140" spans="1:1" s="7" customFormat="1" ht="19.95" customHeight="1" x14ac:dyDescent="0.3">
      <c r="A140" s="4"/>
    </row>
    <row r="141" spans="1:1" s="7" customFormat="1" ht="19.95" customHeight="1" x14ac:dyDescent="0.3">
      <c r="A141" s="4"/>
    </row>
    <row r="142" spans="1:1" s="7" customFormat="1" ht="19.95" customHeight="1" x14ac:dyDescent="0.3">
      <c r="A142" s="4"/>
    </row>
    <row r="143" spans="1:1" s="7" customFormat="1" ht="19.95" customHeight="1" x14ac:dyDescent="0.3">
      <c r="A143" s="4"/>
    </row>
    <row r="144" spans="1:1" s="7" customFormat="1" ht="19.95" customHeight="1" x14ac:dyDescent="0.3">
      <c r="A144" s="4"/>
    </row>
    <row r="145" spans="1:1" s="7" customFormat="1" ht="19.95" customHeight="1" x14ac:dyDescent="0.3">
      <c r="A145" s="4"/>
    </row>
    <row r="146" spans="1:1" s="7" customFormat="1" ht="19.95" customHeight="1" x14ac:dyDescent="0.3">
      <c r="A146" s="4"/>
    </row>
    <row r="147" spans="1:1" s="7" customFormat="1" ht="19.95" customHeight="1" x14ac:dyDescent="0.3">
      <c r="A147" s="4"/>
    </row>
    <row r="148" spans="1:1" s="7" customFormat="1" ht="19.95" customHeight="1" x14ac:dyDescent="0.3">
      <c r="A148" s="4"/>
    </row>
    <row r="149" spans="1:1" s="7" customFormat="1" ht="19.95" customHeight="1" x14ac:dyDescent="0.3">
      <c r="A149" s="4"/>
    </row>
    <row r="150" spans="1:1" s="7" customFormat="1" ht="19.95" customHeight="1" x14ac:dyDescent="0.3">
      <c r="A150" s="4"/>
    </row>
    <row r="151" spans="1:1" s="7" customFormat="1" ht="19.95" customHeight="1" x14ac:dyDescent="0.3">
      <c r="A151" s="4"/>
    </row>
    <row r="152" spans="1:1" s="7" customFormat="1" ht="19.95" customHeight="1" x14ac:dyDescent="0.3">
      <c r="A152" s="4"/>
    </row>
    <row r="153" spans="1:1" s="7" customFormat="1" ht="19.95" customHeight="1" x14ac:dyDescent="0.3">
      <c r="A153" s="4"/>
    </row>
    <row r="154" spans="1:1" s="7" customFormat="1" ht="19.95" customHeight="1" x14ac:dyDescent="0.3">
      <c r="A154" s="4"/>
    </row>
    <row r="155" spans="1:1" s="7" customFormat="1" ht="19.95" customHeight="1" x14ac:dyDescent="0.3">
      <c r="A155" s="4"/>
    </row>
    <row r="156" spans="1:1" s="7" customFormat="1" ht="19.95" customHeight="1" x14ac:dyDescent="0.3">
      <c r="A156" s="4"/>
    </row>
    <row r="157" spans="1:1" s="7" customFormat="1" ht="19.95" customHeight="1" x14ac:dyDescent="0.3">
      <c r="A157" s="4"/>
    </row>
    <row r="158" spans="1:1" s="7" customFormat="1" ht="19.95" customHeight="1" x14ac:dyDescent="0.3">
      <c r="A158" s="4"/>
    </row>
    <row r="159" spans="1:1" s="7" customFormat="1" ht="19.95" customHeight="1" x14ac:dyDescent="0.3">
      <c r="A159" s="4"/>
    </row>
    <row r="160" spans="1:1" s="7" customFormat="1" ht="19.95" customHeight="1" x14ac:dyDescent="0.3">
      <c r="A160" s="4"/>
    </row>
    <row r="161" spans="1:1" s="7" customFormat="1" ht="19.95" customHeight="1" x14ac:dyDescent="0.3">
      <c r="A161" s="4"/>
    </row>
    <row r="162" spans="1:1" s="7" customFormat="1" ht="19.95" customHeight="1" x14ac:dyDescent="0.3">
      <c r="A162" s="4"/>
    </row>
    <row r="163" spans="1:1" s="7" customFormat="1" ht="19.95" customHeight="1" x14ac:dyDescent="0.3">
      <c r="A163" s="4"/>
    </row>
    <row r="164" spans="1:1" s="7" customFormat="1" ht="19.95" customHeight="1" x14ac:dyDescent="0.3">
      <c r="A164" s="4"/>
    </row>
    <row r="165" spans="1:1" s="7" customFormat="1" ht="19.95" customHeight="1" x14ac:dyDescent="0.3">
      <c r="A165" s="4"/>
    </row>
    <row r="166" spans="1:1" s="7" customFormat="1" ht="19.95" customHeight="1" x14ac:dyDescent="0.3">
      <c r="A166" s="4"/>
    </row>
    <row r="167" spans="1:1" s="7" customFormat="1" ht="19.95" customHeight="1" x14ac:dyDescent="0.3">
      <c r="A167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Julia de Souza Aguiar</cp:lastModifiedBy>
  <dcterms:created xsi:type="dcterms:W3CDTF">2024-12-19T13:13:10Z</dcterms:created>
  <dcterms:modified xsi:type="dcterms:W3CDTF">2026-01-25T23:52:20Z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